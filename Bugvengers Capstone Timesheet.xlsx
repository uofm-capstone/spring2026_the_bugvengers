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1" sheetId="1" r:id="rId5"/>
    <sheet state="visible" name="Sprint 2 PC 1" sheetId="2" r:id="rId6"/>
    <sheet state="visible" name="Sprint 2 PC 2" sheetId="3" r:id="rId7"/>
    <sheet state="visible" name="Sprint 3 PC 1" sheetId="4" r:id="rId8"/>
    <sheet state="visible" name="Sprint 3 PC 2" sheetId="5" r:id="rId9"/>
    <sheet state="visible" name="Sprint 4 PC 1" sheetId="6" r:id="rId10"/>
    <sheet state="visible" name="Sprint 4 PC 2" sheetId="7" r:id="rId11"/>
  </sheets>
  <definedNames/>
  <calcPr/>
</workbook>
</file>

<file path=xl/sharedStrings.xml><?xml version="1.0" encoding="utf-8"?>
<sst xmlns="http://schemas.openxmlformats.org/spreadsheetml/2006/main" count="368" uniqueCount="150">
  <si>
    <t>Team Member</t>
  </si>
  <si>
    <t>Kickoff to Demo Day</t>
  </si>
  <si>
    <t>Average Hours/Week (so far)</t>
  </si>
  <si>
    <t>Average Hours/Week (total)</t>
  </si>
  <si>
    <t>Jonathan</t>
  </si>
  <si>
    <t>Hours Spent</t>
  </si>
  <si>
    <t>Activity</t>
  </si>
  <si>
    <t>Remote Video + Class time</t>
  </si>
  <si>
    <t>Team Contract</t>
  </si>
  <si>
    <t>class</t>
  </si>
  <si>
    <t>Sponsor meeting</t>
  </si>
  <si>
    <t>Setting up docker, studying/documenting how previous team used docker and cloud tools</t>
  </si>
  <si>
    <t>Adding brainstormed ideas to backlog, worked on demo day ppt, and looked through the running app with team</t>
  </si>
  <si>
    <t>Rehearesed the presentation before class + Actual presentation</t>
  </si>
  <si>
    <t>Jason</t>
  </si>
  <si>
    <t xml:space="preserve">Class </t>
  </si>
  <si>
    <t>Docker setup</t>
  </si>
  <si>
    <t>Presentation, debugging token error, fix project folder</t>
  </si>
  <si>
    <t>Research GitHub API intergration, Rehearesed the presentation before class + Actual presentation</t>
  </si>
  <si>
    <t>Mario</t>
  </si>
  <si>
    <t>Sponser Metting</t>
  </si>
  <si>
    <t>Setting up docker, Trouble shoot team's projects</t>
  </si>
  <si>
    <t>Demo Day presentation and creating more backlog for github</t>
  </si>
  <si>
    <t>Brandon</t>
  </si>
  <si>
    <t>Sponsor Meeting</t>
  </si>
  <si>
    <t>Setting up Docker and communication</t>
  </si>
  <si>
    <t>Understanding what docker is and how google cloud works and working on Presentation</t>
  </si>
  <si>
    <r>
      <rPr>
        <rFont val="Arial"/>
        <b/>
        <color theme="1"/>
      </rPr>
      <t>Note:</t>
    </r>
    <r>
      <rPr>
        <rFont val="Arial"/>
        <color theme="1"/>
      </rPr>
      <t xml:space="preserve"> Since Sprint 1 is so short, the whole range of time between kick-off and the demo day is combined. In future sprints, these time ranges are split up, with two rows of time ranges per sheet</t>
    </r>
  </si>
  <si>
    <t>Kickoff to Progress Check</t>
  </si>
  <si>
    <t>Lecture</t>
  </si>
  <si>
    <t>Sprint 2 planning with team and editing my tasks afterwards</t>
  </si>
  <si>
    <t>Discussing current tasks with the team, editing tasks, and started reviewing cloud config files</t>
  </si>
  <si>
    <t xml:space="preserve">Figuring out how to navigate in a Google Cloud Console, started following the previous team's Cloud instructions up to creating a Cloud SQL instance </t>
  </si>
  <si>
    <t>Sponsor meeting, continued the previous team's Cloud setup noting any potential documentation improvements, and helped review some of Mario's PRs</t>
  </si>
  <si>
    <t>Continued going through the manual cloud deploy steps, reviewed PRs, and helped Jason with migrating the database</t>
  </si>
  <si>
    <t>Troubleshoot database issue on local, lecture</t>
  </si>
  <si>
    <t>sprint planning with team</t>
  </si>
  <si>
    <t>edit tasks, review current database and schema</t>
  </si>
  <si>
    <t>Still debugging issue with my database on local machine, sponser meeting</t>
  </si>
  <si>
    <t>Class time, resolved issue with machine, start team registration backend</t>
  </si>
  <si>
    <t>SMART coding Lecture</t>
  </si>
  <si>
    <t xml:space="preserve">meeting with team for sprint 2 plannig </t>
  </si>
  <si>
    <t>Working outside class to discuss tasks and distrubution of asignments as well as time</t>
  </si>
  <si>
    <t>Reserch UI elements and Modern Ideas for to re-image the site</t>
  </si>
  <si>
    <t>Working on Navbar for the UI and github PR issue. + Sponser Meeting + Worked 2 more UI changes and issues + Started tailwind implemenation for the CSS styling</t>
  </si>
  <si>
    <t>Class time + Finish all remaning UI issues</t>
  </si>
  <si>
    <t>Sprint 2 planning and creating tasks</t>
  </si>
  <si>
    <t>Working on CSV &amp; github token</t>
  </si>
  <si>
    <t>Understaning how github api calls work</t>
  </si>
  <si>
    <t>Debugging status page to reflect github metrics, search</t>
  </si>
  <si>
    <t>Meeting and Debugging and continuing figuring out why the status page with token set</t>
  </si>
  <si>
    <t>Class time and trying different methods using the token</t>
  </si>
  <si>
    <t>Progress Check to Demo Day</t>
  </si>
  <si>
    <t>Started updating cloud deployment documetation, ran into a deploy error, met with team for assistance</t>
  </si>
  <si>
    <t>Class time working on debugging the deploy error with Mario and meeting with professor for the progress check</t>
  </si>
  <si>
    <t>Fixed the deployment error by debugging issues in the code and fixing some of the configuration in the Cloud Console</t>
  </si>
  <si>
    <t>Had a sponsor meeting to discuss our current progress and any potential plans for sprint 3</t>
  </si>
  <si>
    <t>Class time: conducting formal review for other team and receiving feedback from that team</t>
  </si>
  <si>
    <t>Final touches for the cloud doc so far, created a Cloud Trigger with professor help, got with team to make demo day slides</t>
  </si>
  <si>
    <t>Demo Day</t>
  </si>
  <si>
    <t>Implemented backend for team registration, team meeting/planning</t>
  </si>
  <si>
    <t>Class time, working on team registration frontend</t>
  </si>
  <si>
    <t>Changes to backend for registering as a guest</t>
  </si>
  <si>
    <t>Added sidebar for guest and fixed association issue, team meeting</t>
  </si>
  <si>
    <t>class time, formal review, completed reflection survey and sent sponser survey</t>
  </si>
  <si>
    <t>Meeting with team to prepare demo day presentation, research action mailer</t>
  </si>
  <si>
    <t>Demo day</t>
  </si>
  <si>
    <t>Trying Deployment on ARM based Linux for the project. Figuring out docker issues with database on linux and other WSL instances (Documentation will be fixed to reflect DATABASE CONFLICTS) + Team meeting</t>
  </si>
  <si>
    <t>Class time</t>
  </si>
  <si>
    <t>class time</t>
  </si>
  <si>
    <t>Meeting with team to do the survey, making sure the Kanban board meets the all the criteria. And did worked on completing the presentation slides</t>
  </si>
  <si>
    <t>Team meeting, fixing controller, still trying to make it possible to gather information from api token instead of hardcoding.</t>
  </si>
  <si>
    <t>Class time, trying to debug what the authentication with token does not work</t>
  </si>
  <si>
    <t>Worked on editing status page, make it usuable while also trying to work on token authenthication</t>
  </si>
  <si>
    <t xml:space="preserve">Sponsor meeting </t>
  </si>
  <si>
    <t>class time, continuing to edit status page, getting ready for demo day</t>
  </si>
  <si>
    <t>Added documents to github and prepared for demo</t>
  </si>
  <si>
    <t>Demo</t>
  </si>
  <si>
    <t>Teammate #1</t>
  </si>
  <si>
    <t>Teammate #2</t>
  </si>
  <si>
    <t>Teammate #3</t>
  </si>
  <si>
    <t>Teammate #4</t>
  </si>
  <si>
    <t>sponsor meeting, going over meeting notes, planning tasks in class</t>
  </si>
  <si>
    <t>class time spent on looking for some documentation and videos on how to use OpenAI API in rails</t>
  </si>
  <si>
    <t>watched some youtube tutorials on the OpenAI ruby gem, read the github documentation for it, and planned my workflow up to the progress check</t>
  </si>
  <si>
    <t>writing CSV parsing plan based off of CSV exported qualtrics data to help with task 3 + sponsor meeting</t>
  </si>
  <si>
    <t>Set up a local llm using ollama inside a cloud vm in the same cloud project as the deployed application and connected the llm to the cloud run service + class time</t>
  </si>
  <si>
    <t xml:space="preserve">Jason </t>
  </si>
  <si>
    <t>sponsor meeting, class time on planning and kanban board</t>
  </si>
  <si>
    <t>started creating student account with temp password task</t>
  </si>
  <si>
    <t>sponser meeting, continue creating student account with temp password task</t>
  </si>
  <si>
    <t>implemented account creation with temp password after csv upload, class time</t>
  </si>
  <si>
    <t xml:space="preserve">Class time + Finishing Codebase &amp; GitHub API Exploration
</t>
  </si>
  <si>
    <t>Finishing Kanban creation Issues</t>
  </si>
  <si>
    <t>Working on github backend task 2</t>
  </si>
  <si>
    <t>Sponser meeting</t>
  </si>
  <si>
    <t>Class time + Work on github and status page re-evaluation</t>
  </si>
  <si>
    <t>sponsor meeting and planning kanban board</t>
  </si>
  <si>
    <t>Class time/work day</t>
  </si>
  <si>
    <t>Added Columns to Admin dashboard</t>
  </si>
  <si>
    <t>Sponser meeting, research on how activity status works on Ruby on Rails</t>
  </si>
  <si>
    <t>Class time + including new filter features</t>
  </si>
  <si>
    <t>met with team to discuss progress and any potential blockers, started planning how to implement CSV survey parsing for the llm</t>
  </si>
  <si>
    <t>class time spent on starting the CSV parsing service for the client surveys</t>
  </si>
  <si>
    <t>completed the CSV parsing service for the client surveys. parsed CSV data is ready to be inputted into future LLM service</t>
  </si>
  <si>
    <t>finished the LLM service for client survey sentiments and edited some of the llm setup documentation</t>
  </si>
  <si>
    <t>class time (speaker and formal review) + started testing different prompts for the llm and formatting its output</t>
  </si>
  <si>
    <t>continued prompt testing with the llm until i found the best one, got w/ mario to plan how to add this to frontend of status page, and team meeting to make demo day slides</t>
  </si>
  <si>
    <t>demo day</t>
  </si>
  <si>
    <t>work on welcome email with login details for new students, team meeting</t>
  </si>
  <si>
    <t>class time spent on welcome email feature</t>
  </si>
  <si>
    <t>Implementing SendGrid api for emails, sponser meeting</t>
  </si>
  <si>
    <t>class time, work on polishing email feature before push to main</t>
  </si>
  <si>
    <t>Final polishes on feature, team meeting prep for demo day, film demo video</t>
  </si>
  <si>
    <t>Team meeting</t>
  </si>
  <si>
    <t>Started the plan to work on the github overhall of the status page</t>
  </si>
  <si>
    <t>UI and more work on the status page for github integration</t>
  </si>
  <si>
    <t>Github integration big task on main branch</t>
  </si>
  <si>
    <t>Github status page integration work (Finished)</t>
  </si>
  <si>
    <t>Meeting with Jonathan to go over UI integration for the LLM in the status page + Team meeting and PR reviews + Filming video and making slides for presentation day + slides</t>
  </si>
  <si>
    <t>presentation day</t>
  </si>
  <si>
    <t>Team meeting and prepared for progress check</t>
  </si>
  <si>
    <t>Class time, searching for new features</t>
  </si>
  <si>
    <t>Fixing bugs with the filter and last log in</t>
  </si>
  <si>
    <t>Reorganized the chart to have columns in appropiate places.</t>
  </si>
  <si>
    <t>Class time and worked on finishing the formal review.</t>
  </si>
  <si>
    <t>Finishing touching and getting ready for demo</t>
  </si>
  <si>
    <t>team meeting planning on kanban board</t>
  </si>
  <si>
    <t>class time finished planning tasks</t>
  </si>
  <si>
    <t>completed backend code to print the client survey llm sentiment on status page when CSV uploads</t>
  </si>
  <si>
    <t>started looking into upgrading the cloud vm and using a larger llm + Sponsor meeting</t>
  </si>
  <si>
    <t>class time fixing the llm sentiment to appear on the deployed site not just local</t>
  </si>
  <si>
    <t>Team meeting, Kanban board planning</t>
  </si>
  <si>
    <t>Class time, migrating to mailjet</t>
  </si>
  <si>
    <t>Mario Vera</t>
  </si>
  <si>
    <t>Class</t>
  </si>
  <si>
    <t>Task #1 for Status Page</t>
  </si>
  <si>
    <t>Working on task #2 for status page</t>
  </si>
  <si>
    <t>class time + and finish task 3</t>
  </si>
  <si>
    <t>team meeting</t>
  </si>
  <si>
    <t>Sponsor Meeting and working on status column</t>
  </si>
  <si>
    <t>team meeting + looked into using gemma 4 models and edited llm error messages to be more distinct in debugging</t>
  </si>
  <si>
    <t>class time used to edit the llm model to gemm4:e2b and upgraded vm instance to handle it</t>
  </si>
  <si>
    <t>fixed llm not reachable on deployed site error + upgraded vm to c4-highcpu-16 making llm sentiments take 30 seconds compared to 90</t>
  </si>
  <si>
    <t>planned on how to work on the timesheet integration. decided on using a script</t>
  </si>
  <si>
    <t>communication with mailjet support, team meeting</t>
  </si>
  <si>
    <t>load students onto their respective team, started kanban monkey commit checker feature</t>
  </si>
  <si>
    <t>Group meeting + Worked on tasks 4 and 5</t>
  </si>
  <si>
    <t>Before class worked on tasks 6 and 7</t>
  </si>
  <si>
    <t>Group Meeting &amp; working on home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</si>
</sst>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&quot; &quot;d"/>
    <numFmt numFmtId="165" formatCode="m/d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b/>
      <color rgb="FF191B1C"/>
      <name val="Arial"/>
      <scheme val="minor"/>
    </font>
    <font>
      <color rgb="FF191B1C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2" numFmtId="164" xfId="0" applyAlignment="1" applyFont="1" applyNumberFormat="1">
      <alignment horizontal="right" readingOrder="0" shrinkToFit="0" vertical="bottom" wrapText="1"/>
    </xf>
    <xf borderId="0" fillId="2" fontId="1" numFmtId="0" xfId="0" applyAlignment="1" applyFont="1">
      <alignment horizontal="right" readingOrder="0" shrinkToFit="0" wrapText="1"/>
    </xf>
    <xf borderId="0" fillId="0" fontId="3" numFmtId="0" xfId="0" applyAlignment="1" applyFont="1">
      <alignment shrinkToFit="0" wrapText="1"/>
    </xf>
    <xf borderId="0" fillId="3" fontId="4" numFmtId="0" xfId="0" applyAlignment="1" applyFill="1" applyFont="1">
      <alignment readingOrder="0" shrinkToFit="0" vertical="center" wrapText="1"/>
    </xf>
    <xf borderId="0" fillId="3" fontId="3" numFmtId="0" xfId="0" applyAlignment="1" applyFont="1">
      <alignment readingOrder="0" shrinkToFit="0" wrapText="1"/>
    </xf>
    <xf borderId="0" fillId="3" fontId="5" numFmtId="0" xfId="0" applyAlignment="1" applyFont="1">
      <alignment readingOrder="0" shrinkToFit="0" wrapText="1"/>
    </xf>
    <xf borderId="0" fillId="3" fontId="1" numFmtId="4" xfId="0" applyAlignment="1" applyFont="1" applyNumberFormat="1">
      <alignment readingOrder="0" shrinkToFit="0" wrapText="1"/>
    </xf>
    <xf borderId="0" fillId="4" fontId="1" numFmtId="0" xfId="0" applyAlignment="1" applyFill="1" applyFont="1">
      <alignment readingOrder="0" shrinkToFit="0" vertical="center" wrapText="1"/>
    </xf>
    <xf borderId="0" fillId="4" fontId="3" numFmtId="0" xfId="0" applyAlignment="1" applyFont="1">
      <alignment readingOrder="0" shrinkToFit="0" wrapText="1"/>
    </xf>
    <xf borderId="0" fillId="4" fontId="1" numFmtId="4" xfId="0" applyAlignment="1" applyFont="1" applyNumberFormat="1">
      <alignment readingOrder="0" shrinkToFit="0" wrapText="1"/>
    </xf>
    <xf borderId="0" fillId="5" fontId="1" numFmtId="0" xfId="0" applyAlignment="1" applyFill="1" applyFont="1">
      <alignment readingOrder="0" shrinkToFit="0" vertical="center" wrapText="1"/>
    </xf>
    <xf borderId="0" fillId="5" fontId="3" numFmtId="0" xfId="0" applyAlignment="1" applyFont="1">
      <alignment readingOrder="0" shrinkToFit="0" wrapText="1"/>
    </xf>
    <xf borderId="0" fillId="5" fontId="1" numFmtId="4" xfId="0" applyAlignment="1" applyFont="1" applyNumberFormat="1">
      <alignment readingOrder="0" shrinkToFit="0" wrapText="1"/>
    </xf>
    <xf borderId="0" fillId="6" fontId="1" numFmtId="0" xfId="0" applyAlignment="1" applyFill="1" applyFont="1">
      <alignment readingOrder="0" shrinkToFit="0" vertical="center" wrapText="1"/>
    </xf>
    <xf borderId="0" fillId="6" fontId="3" numFmtId="0" xfId="0" applyAlignment="1" applyFont="1">
      <alignment readingOrder="0" shrinkToFit="0" wrapText="1"/>
    </xf>
    <xf borderId="0" fillId="6" fontId="1" numFmtId="4" xfId="0" applyAlignment="1" applyFont="1" applyNumberForma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1" numFmtId="0" xfId="0" applyAlignment="1" applyFont="1">
      <alignment horizontal="right" readingOrder="0" shrinkToFit="0" wrapText="1"/>
    </xf>
    <xf borderId="0" fillId="0" fontId="1" numFmtId="165" xfId="0" applyAlignment="1" applyFont="1" applyNumberFormat="1">
      <alignment readingOrder="0" shrinkToFit="0" wrapText="1"/>
    </xf>
    <xf borderId="0" fillId="0" fontId="1" numFmtId="0" xfId="0" applyAlignment="1" applyFont="1">
      <alignment readingOrder="0" shrinkToFit="0" vertical="center" wrapText="1"/>
    </xf>
    <xf borderId="0" fillId="0" fontId="1" numFmtId="4" xfId="0" applyAlignment="1" applyFont="1" applyNumberFormat="1">
      <alignment readingOrder="0" shrinkToFit="0" wrapText="1"/>
    </xf>
    <xf borderId="0" fillId="0" fontId="1" numFmtId="0" xfId="0" applyAlignment="1" applyFont="1">
      <alignment shrinkToFit="0" wrapText="1"/>
    </xf>
    <xf borderId="0" fillId="3" fontId="1" numFmtId="0" xfId="0" applyAlignment="1" applyFont="1">
      <alignment readingOrder="0" shrinkToFit="0" vertical="center" wrapText="1"/>
    </xf>
    <xf borderId="0" fillId="3" fontId="1" numFmtId="0" xfId="0" applyAlignment="1" applyFont="1">
      <alignment shrinkToFit="0" wrapText="1"/>
    </xf>
    <xf borderId="0" fillId="4" fontId="1" numFmtId="0" xfId="0" applyAlignment="1" applyFont="1">
      <alignment shrinkToFit="0" wrapText="1"/>
    </xf>
    <xf borderId="0" fillId="5" fontId="1" numFmtId="0" xfId="0" applyAlignment="1" applyFont="1">
      <alignment shrinkToFit="0" wrapText="1"/>
    </xf>
    <xf borderId="0" fillId="6" fontId="1" numFmtId="0" xfId="0" applyAlignment="1" applyFont="1">
      <alignment shrinkToFit="0" wrapText="1"/>
    </xf>
    <xf borderId="0" fillId="2" fontId="1" numFmtId="0" xfId="0" applyAlignment="1" applyFont="1">
      <alignment readingOrder="0"/>
    </xf>
    <xf borderId="0" fillId="2" fontId="2" numFmtId="164" xfId="0" applyAlignment="1" applyFont="1" applyNumberFormat="1">
      <alignment horizontal="right" readingOrder="0" vertical="bottom"/>
    </xf>
    <xf borderId="0" fillId="3" fontId="1" numFmtId="0" xfId="0" applyAlignment="1" applyFont="1">
      <alignment readingOrder="0" vertical="center"/>
    </xf>
    <xf borderId="0" fillId="3" fontId="3" numFmtId="0" xfId="0" applyAlignment="1" applyFont="1">
      <alignment readingOrder="0"/>
    </xf>
    <xf borderId="0" fillId="3" fontId="1" numFmtId="4" xfId="0" applyAlignment="1" applyFont="1" applyNumberFormat="1">
      <alignment readingOrder="0"/>
    </xf>
    <xf borderId="0" fillId="3" fontId="1" numFmtId="4" xfId="0" applyFont="1" applyNumberFormat="1"/>
    <xf borderId="0" fillId="4" fontId="1" numFmtId="0" xfId="0" applyAlignment="1" applyFont="1">
      <alignment readingOrder="0" vertical="center"/>
    </xf>
    <xf borderId="0" fillId="4" fontId="3" numFmtId="0" xfId="0" applyAlignment="1" applyFont="1">
      <alignment readingOrder="0"/>
    </xf>
    <xf borderId="0" fillId="4" fontId="1" numFmtId="4" xfId="0" applyAlignment="1" applyFont="1" applyNumberFormat="1">
      <alignment readingOrder="0"/>
    </xf>
    <xf borderId="0" fillId="4" fontId="1" numFmtId="4" xfId="0" applyFont="1" applyNumberFormat="1"/>
    <xf borderId="0" fillId="5" fontId="1" numFmtId="0" xfId="0" applyAlignment="1" applyFont="1">
      <alignment readingOrder="0" vertical="center"/>
    </xf>
    <xf borderId="0" fillId="5" fontId="3" numFmtId="0" xfId="0" applyAlignment="1" applyFont="1">
      <alignment readingOrder="0"/>
    </xf>
    <xf borderId="0" fillId="5" fontId="1" numFmtId="4" xfId="0" applyAlignment="1" applyFont="1" applyNumberFormat="1">
      <alignment readingOrder="0"/>
    </xf>
    <xf borderId="0" fillId="5" fontId="1" numFmtId="4" xfId="0" applyFont="1" applyNumberFormat="1"/>
    <xf borderId="0" fillId="6" fontId="1" numFmtId="0" xfId="0" applyAlignment="1" applyFont="1">
      <alignment readingOrder="0" vertical="center"/>
    </xf>
    <xf borderId="0" fillId="6" fontId="3" numFmtId="0" xfId="0" applyAlignment="1" applyFont="1">
      <alignment readingOrder="0"/>
    </xf>
    <xf borderId="0" fillId="6" fontId="1" numFmtId="4" xfId="0" applyAlignment="1" applyFont="1" applyNumberFormat="1">
      <alignment readingOrder="0"/>
    </xf>
    <xf borderId="0" fillId="6" fontId="1" numFmtId="4" xfId="0" applyFont="1" applyNumberFormat="1"/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3" fontId="1" numFmtId="0" xfId="0" applyFont="1"/>
    <xf borderId="0" fillId="0" fontId="3" numFmtId="0" xfId="0" applyAlignment="1" applyFont="1">
      <alignment readingOrder="0"/>
    </xf>
    <xf borderId="0" fillId="0" fontId="1" numFmtId="0" xfId="0" applyFont="1"/>
    <xf borderId="0" fillId="4" fontId="1" numFmtId="0" xfId="0" applyFont="1"/>
    <xf borderId="0" fillId="5" fontId="1" numFmtId="0" xfId="0" applyFont="1"/>
    <xf borderId="0" fillId="6" fontId="1" numFmtId="0" xfId="0" applyFont="1"/>
    <xf borderId="0" fillId="0" fontId="2" numFmtId="164" xfId="0" applyAlignment="1" applyFont="1" applyNumberFormat="1">
      <alignment horizontal="right" readingOrder="0" shrinkToFit="0" vertical="bottom" wrapText="1"/>
    </xf>
    <xf borderId="0" fillId="0" fontId="2" numFmtId="16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14.25"/>
    <col customWidth="1" min="10" max="10" width="12.25"/>
    <col customWidth="1" min="13" max="13" width="14.88"/>
  </cols>
  <sheetData>
    <row r="1">
      <c r="A1" s="1" t="s">
        <v>0</v>
      </c>
      <c r="B1" s="1" t="s">
        <v>1</v>
      </c>
      <c r="C1" s="2">
        <v>46056.0</v>
      </c>
      <c r="D1" s="2">
        <v>46057.0</v>
      </c>
      <c r="E1" s="2">
        <v>46058.0</v>
      </c>
      <c r="F1" s="2">
        <v>46059.0</v>
      </c>
      <c r="G1" s="2">
        <v>46060.0</v>
      </c>
      <c r="H1" s="2">
        <v>46061.0</v>
      </c>
      <c r="I1" s="2">
        <v>46062.0</v>
      </c>
      <c r="J1" s="2">
        <v>46063.0</v>
      </c>
      <c r="K1" s="2">
        <v>46064.0</v>
      </c>
      <c r="L1" s="2">
        <v>46065.0</v>
      </c>
      <c r="M1" s="3" t="s">
        <v>2</v>
      </c>
      <c r="N1" s="3" t="s">
        <v>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4</v>
      </c>
      <c r="B2" s="6" t="s">
        <v>5</v>
      </c>
      <c r="C2" s="7">
        <v>2.5</v>
      </c>
      <c r="D2" s="7">
        <v>1.5</v>
      </c>
      <c r="E2" s="6">
        <v>1.5</v>
      </c>
      <c r="F2" s="6"/>
      <c r="G2" s="6"/>
      <c r="H2" s="6"/>
      <c r="I2" s="6">
        <v>1.0</v>
      </c>
      <c r="J2" s="6">
        <v>4.3</v>
      </c>
      <c r="K2" s="6">
        <v>4.0</v>
      </c>
      <c r="L2" s="6">
        <v>2.5</v>
      </c>
      <c r="M2" s="8">
        <f>IFERROR(__xludf.DUMMYFUNCTION("IFERROR(SUM(C2:L2) / ((MAX(FILTER(COLUMN(C2:L2), C2:L2&lt;&gt;"""")) - MIN(FILTER(COLUMN(C2:L2), C2:L2&lt;&gt;"""")) + 1)/7),"""")"),12.11)</f>
        <v>12.11</v>
      </c>
      <c r="N2" s="8">
        <f>SUM(C2:L2)/(COLUMNS(C2:L2)/7)</f>
        <v>12.11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B3" s="6" t="s">
        <v>6</v>
      </c>
      <c r="C3" s="7" t="s">
        <v>7</v>
      </c>
      <c r="D3" s="7" t="s">
        <v>8</v>
      </c>
      <c r="E3" s="7" t="s">
        <v>9</v>
      </c>
      <c r="F3" s="6"/>
      <c r="G3" s="6"/>
      <c r="H3" s="6"/>
      <c r="I3" s="6" t="s">
        <v>10</v>
      </c>
      <c r="J3" s="6" t="s">
        <v>11</v>
      </c>
      <c r="K3" s="6" t="s">
        <v>12</v>
      </c>
      <c r="L3" s="6" t="s">
        <v>13</v>
      </c>
      <c r="M3" s="8"/>
      <c r="N3" s="8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" t="s">
        <v>14</v>
      </c>
      <c r="B4" s="10" t="s">
        <v>5</v>
      </c>
      <c r="C4" s="10">
        <v>2.5</v>
      </c>
      <c r="D4" s="10">
        <v>1.5</v>
      </c>
      <c r="E4" s="10">
        <v>1.5</v>
      </c>
      <c r="F4" s="10"/>
      <c r="G4" s="10"/>
      <c r="H4" s="10"/>
      <c r="I4" s="10">
        <v>1.0</v>
      </c>
      <c r="J4" s="10">
        <v>1.5</v>
      </c>
      <c r="K4" s="10">
        <v>3.5</v>
      </c>
      <c r="L4" s="10">
        <v>3.5</v>
      </c>
      <c r="M4" s="11">
        <f>IFERROR(__xludf.DUMMYFUNCTION("IFERROR(SUM(C4:L4) / ((MAX(FILTER(COLUMN(C4:L4), C4:L4&lt;&gt;"""")) - MIN(FILTER(COLUMN(C4:L4), C4:L4&lt;&gt;"""")) + 1)/7),"""")"),10.5)</f>
        <v>10.5</v>
      </c>
      <c r="N4" s="11">
        <f>SUM(C4:L4)/(COLUMNS(C4:L4)/7)</f>
        <v>10.5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B5" s="10" t="s">
        <v>6</v>
      </c>
      <c r="C5" s="10" t="s">
        <v>7</v>
      </c>
      <c r="D5" s="10" t="s">
        <v>8</v>
      </c>
      <c r="E5" s="10" t="s">
        <v>15</v>
      </c>
      <c r="F5" s="10"/>
      <c r="G5" s="10"/>
      <c r="H5" s="10"/>
      <c r="I5" s="10" t="s">
        <v>10</v>
      </c>
      <c r="J5" s="10" t="s">
        <v>16</v>
      </c>
      <c r="K5" s="10" t="s">
        <v>17</v>
      </c>
      <c r="L5" s="10" t="s">
        <v>18</v>
      </c>
      <c r="M5" s="11"/>
      <c r="N5" s="11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2" t="s">
        <v>19</v>
      </c>
      <c r="B6" s="13" t="s">
        <v>5</v>
      </c>
      <c r="C6" s="13">
        <v>2.5</v>
      </c>
      <c r="D6" s="13">
        <v>1.5</v>
      </c>
      <c r="E6" s="13">
        <v>1.5</v>
      </c>
      <c r="F6" s="13"/>
      <c r="G6" s="13"/>
      <c r="H6" s="13"/>
      <c r="I6" s="13">
        <v>1.0</v>
      </c>
      <c r="J6" s="13">
        <v>3.0</v>
      </c>
      <c r="K6" s="13">
        <v>3.0</v>
      </c>
      <c r="L6" s="13">
        <v>2.5</v>
      </c>
      <c r="M6" s="14">
        <f>IFERROR(__xludf.DUMMYFUNCTION("IFERROR(SUM(C6:L6) / ((MAX(FILTER(COLUMN(C6:L6), C6:L6&lt;&gt;"""")) - MIN(FILTER(COLUMN(C6:L6), C6:L6&lt;&gt;"""")) + 1)/7),"""")"),10.5)</f>
        <v>10.5</v>
      </c>
      <c r="N6" s="14">
        <f>SUM(C6:L6)/(COLUMNS(C6:L6)/7)</f>
        <v>10.5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B7" s="13" t="s">
        <v>6</v>
      </c>
      <c r="C7" s="13" t="s">
        <v>7</v>
      </c>
      <c r="D7" s="13" t="s">
        <v>8</v>
      </c>
      <c r="E7" s="13" t="s">
        <v>9</v>
      </c>
      <c r="F7" s="13"/>
      <c r="G7" s="13"/>
      <c r="H7" s="13"/>
      <c r="I7" s="13" t="s">
        <v>20</v>
      </c>
      <c r="J7" s="13" t="s">
        <v>21</v>
      </c>
      <c r="K7" s="13" t="s">
        <v>22</v>
      </c>
      <c r="L7" s="13" t="s">
        <v>13</v>
      </c>
      <c r="M7" s="14"/>
      <c r="N7" s="1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5" t="s">
        <v>23</v>
      </c>
      <c r="B8" s="16" t="s">
        <v>5</v>
      </c>
      <c r="C8" s="16">
        <v>2.5</v>
      </c>
      <c r="D8" s="16">
        <v>1.5</v>
      </c>
      <c r="E8" s="16">
        <v>1.5</v>
      </c>
      <c r="F8" s="16"/>
      <c r="G8" s="16"/>
      <c r="H8" s="16"/>
      <c r="I8" s="16">
        <v>1.0</v>
      </c>
      <c r="J8" s="16">
        <v>2.5</v>
      </c>
      <c r="K8" s="16">
        <v>4.0</v>
      </c>
      <c r="L8" s="16">
        <v>2.5</v>
      </c>
      <c r="M8" s="17">
        <f>IFERROR(__xludf.DUMMYFUNCTION("IFERROR(SUM(C8:L8) / ((MAX(FILTER(COLUMN(C8:L8), C8:L8&lt;&gt;"""")) - MIN(FILTER(COLUMN(C8:L8), C8:L8&lt;&gt;"""")) + 1)/7),"""")"),10.85)</f>
        <v>10.85</v>
      </c>
      <c r="N8" s="17">
        <f>SUM(C8:L8)/(COLUMNS(C8:L8)/7)</f>
        <v>10.85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B9" s="16" t="s">
        <v>6</v>
      </c>
      <c r="C9" s="16" t="s">
        <v>7</v>
      </c>
      <c r="D9" s="16" t="s">
        <v>8</v>
      </c>
      <c r="E9" s="16" t="s">
        <v>9</v>
      </c>
      <c r="F9" s="16"/>
      <c r="G9" s="16"/>
      <c r="H9" s="16"/>
      <c r="I9" s="16" t="s">
        <v>24</v>
      </c>
      <c r="J9" s="16" t="s">
        <v>25</v>
      </c>
      <c r="K9" s="16" t="s">
        <v>26</v>
      </c>
      <c r="L9" s="16" t="s">
        <v>13</v>
      </c>
      <c r="M9" s="17"/>
      <c r="N9" s="17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8"/>
      <c r="B12" s="18"/>
      <c r="C12" s="19" t="s">
        <v>27</v>
      </c>
      <c r="D12" s="4"/>
      <c r="E12" s="4"/>
      <c r="F12" s="4"/>
      <c r="G12" s="4"/>
      <c r="H12" s="4"/>
      <c r="I12" s="4"/>
      <c r="J12" s="20"/>
      <c r="K12" s="20"/>
      <c r="L12" s="21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2"/>
      <c r="B13" s="19"/>
      <c r="C13" s="4"/>
      <c r="D13" s="4"/>
      <c r="E13" s="4"/>
      <c r="F13" s="4"/>
      <c r="G13" s="4"/>
      <c r="H13" s="4"/>
      <c r="I13" s="4"/>
      <c r="J13" s="23"/>
      <c r="K13" s="23"/>
      <c r="L13" s="19"/>
      <c r="M13" s="2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B14" s="19"/>
      <c r="C14" s="4"/>
      <c r="D14" s="4"/>
      <c r="E14" s="4"/>
      <c r="F14" s="4"/>
      <c r="G14" s="4"/>
      <c r="H14" s="4"/>
      <c r="I14" s="4"/>
      <c r="J14" s="23"/>
      <c r="K14" s="23"/>
      <c r="L14" s="19"/>
      <c r="M14" s="2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2"/>
      <c r="B15" s="19"/>
      <c r="C15" s="4"/>
      <c r="D15" s="4"/>
      <c r="E15" s="4"/>
      <c r="F15" s="4"/>
      <c r="G15" s="4"/>
      <c r="H15" s="4"/>
      <c r="I15" s="4"/>
      <c r="J15" s="23"/>
      <c r="K15" s="23"/>
      <c r="L15" s="4"/>
      <c r="M15" s="2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B16" s="19"/>
      <c r="C16" s="4"/>
      <c r="D16" s="4"/>
      <c r="E16" s="4"/>
      <c r="F16" s="4"/>
      <c r="G16" s="4"/>
      <c r="H16" s="4"/>
      <c r="I16" s="4"/>
      <c r="J16" s="23"/>
      <c r="K16" s="23"/>
      <c r="L16" s="19"/>
      <c r="M16" s="2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2"/>
      <c r="B17" s="19"/>
      <c r="C17" s="4"/>
      <c r="D17" s="4"/>
      <c r="E17" s="4"/>
      <c r="F17" s="4"/>
      <c r="G17" s="4"/>
      <c r="H17" s="4"/>
      <c r="I17" s="4"/>
      <c r="J17" s="23"/>
      <c r="K17" s="23"/>
      <c r="L17" s="19"/>
      <c r="M17" s="2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B18" s="19"/>
      <c r="C18" s="4"/>
      <c r="D18" s="4"/>
      <c r="E18" s="4"/>
      <c r="F18" s="4"/>
      <c r="G18" s="4"/>
      <c r="H18" s="4"/>
      <c r="I18" s="4"/>
      <c r="J18" s="23"/>
      <c r="K18" s="23"/>
      <c r="L18" s="19"/>
      <c r="M18" s="2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2"/>
      <c r="B19" s="19"/>
      <c r="C19" s="4"/>
      <c r="D19" s="4"/>
      <c r="E19" s="4"/>
      <c r="F19" s="4"/>
      <c r="G19" s="4"/>
      <c r="H19" s="4"/>
      <c r="I19" s="4"/>
      <c r="J19" s="23"/>
      <c r="K19" s="23"/>
      <c r="L19" s="19"/>
      <c r="M19" s="2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B20" s="19"/>
      <c r="C20" s="4"/>
      <c r="D20" s="4"/>
      <c r="E20" s="4"/>
      <c r="F20" s="4"/>
      <c r="G20" s="4"/>
      <c r="H20" s="4"/>
      <c r="I20" s="4"/>
      <c r="J20" s="23"/>
      <c r="K20" s="23"/>
      <c r="L20" s="19"/>
      <c r="M20" s="2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</sheetData>
  <mergeCells count="8">
    <mergeCell ref="A2:A3"/>
    <mergeCell ref="A4:A5"/>
    <mergeCell ref="A6:A7"/>
    <mergeCell ref="A8:A9"/>
    <mergeCell ref="A13:A14"/>
    <mergeCell ref="A15:A16"/>
    <mergeCell ref="A17:A18"/>
    <mergeCell ref="A19:A2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14.25"/>
    <col customWidth="1" min="10" max="10" width="12.88"/>
    <col customWidth="1" min="13" max="13" width="14.88"/>
  </cols>
  <sheetData>
    <row r="1">
      <c r="A1" s="1" t="s">
        <v>0</v>
      </c>
      <c r="B1" s="1" t="s">
        <v>28</v>
      </c>
      <c r="C1" s="2">
        <v>46070.0</v>
      </c>
      <c r="D1" s="2">
        <v>46071.0</v>
      </c>
      <c r="E1" s="2">
        <v>46072.0</v>
      </c>
      <c r="F1" s="2">
        <v>46073.0</v>
      </c>
      <c r="G1" s="2">
        <v>46074.0</v>
      </c>
      <c r="H1" s="2">
        <v>46075.0</v>
      </c>
      <c r="I1" s="2">
        <v>46076.0</v>
      </c>
      <c r="J1" s="2">
        <v>46077.0</v>
      </c>
      <c r="K1" s="3" t="s">
        <v>2</v>
      </c>
      <c r="L1" s="3" t="s">
        <v>3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5" t="s">
        <v>4</v>
      </c>
      <c r="B2" s="6" t="s">
        <v>5</v>
      </c>
      <c r="C2" s="6">
        <v>1.5</v>
      </c>
      <c r="D2" s="6">
        <v>1.5</v>
      </c>
      <c r="E2" s="6">
        <v>1.5</v>
      </c>
      <c r="F2" s="6"/>
      <c r="G2" s="6"/>
      <c r="H2" s="6">
        <v>2.6</v>
      </c>
      <c r="I2" s="6">
        <v>2.0</v>
      </c>
      <c r="J2" s="6">
        <v>1.5</v>
      </c>
      <c r="K2" s="8">
        <f>IFERROR(__xludf.DUMMYFUNCTION("IFERROR(SUM(C2:J2) / ((MAX(FILTER(COLUMN(C2:J2), C2:J2&lt;&gt;"""")) - MIN(FILTER(COLUMN(C2:J2), C2:J2&lt;&gt;"""")) + 1)/7),"""")
"),9.275)</f>
        <v>9.275</v>
      </c>
      <c r="L2" s="8">
        <f>SUM(C2:J2)/(COLUMNS(C2:J2)/7)</f>
        <v>9.275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B3" s="6" t="s">
        <v>6</v>
      </c>
      <c r="C3" s="6" t="s">
        <v>29</v>
      </c>
      <c r="D3" s="6" t="s">
        <v>30</v>
      </c>
      <c r="E3" s="6" t="s">
        <v>31</v>
      </c>
      <c r="F3" s="6"/>
      <c r="G3" s="6"/>
      <c r="H3" s="6" t="s">
        <v>32</v>
      </c>
      <c r="I3" s="6" t="s">
        <v>33</v>
      </c>
      <c r="J3" s="6" t="s">
        <v>34</v>
      </c>
      <c r="K3" s="8"/>
      <c r="L3" s="8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" t="s">
        <v>14</v>
      </c>
      <c r="B4" s="10" t="s">
        <v>5</v>
      </c>
      <c r="C4" s="10">
        <v>1.5</v>
      </c>
      <c r="D4" s="10">
        <v>1.0</v>
      </c>
      <c r="E4" s="10">
        <v>1.5</v>
      </c>
      <c r="F4" s="10"/>
      <c r="G4" s="10"/>
      <c r="H4" s="10"/>
      <c r="I4" s="10">
        <v>1.5</v>
      </c>
      <c r="J4" s="10">
        <v>3.5</v>
      </c>
      <c r="K4" s="11">
        <f>IFERROR(__xludf.DUMMYFUNCTION("IFERROR(SUM(C4:J4) / ((MAX(FILTER(COLUMN(C4:J4), C4:J4&lt;&gt;"""")) - MIN(FILTER(COLUMN(C4:J4), C4:J4&lt;&gt;"""")) + 1)/7),"""")
"),7.875)</f>
        <v>7.875</v>
      </c>
      <c r="L4" s="11">
        <f>SUM(C4:J4)/(COLUMNS(C4:J4)/7)</f>
        <v>7.875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B5" s="10" t="s">
        <v>6</v>
      </c>
      <c r="C5" s="10" t="s">
        <v>35</v>
      </c>
      <c r="D5" s="10" t="s">
        <v>36</v>
      </c>
      <c r="E5" s="10" t="s">
        <v>37</v>
      </c>
      <c r="F5" s="10"/>
      <c r="G5" s="10"/>
      <c r="H5" s="10"/>
      <c r="I5" s="10" t="s">
        <v>38</v>
      </c>
      <c r="J5" s="10" t="s">
        <v>39</v>
      </c>
      <c r="K5" s="11"/>
      <c r="L5" s="11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2" t="s">
        <v>19</v>
      </c>
      <c r="B6" s="13" t="s">
        <v>5</v>
      </c>
      <c r="C6" s="13">
        <v>1.5</v>
      </c>
      <c r="D6" s="13">
        <v>1.0</v>
      </c>
      <c r="E6" s="13">
        <v>1.5</v>
      </c>
      <c r="F6" s="13">
        <v>1.5</v>
      </c>
      <c r="G6" s="13"/>
      <c r="H6" s="13"/>
      <c r="I6" s="13">
        <v>6.4</v>
      </c>
      <c r="J6" s="13">
        <v>3.5</v>
      </c>
      <c r="K6" s="14">
        <f>IFERROR(__xludf.DUMMYFUNCTION("IFERROR(SUM(C6:J6) / ((MAX(FILTER(COLUMN(C6:J6), C6:J6&lt;&gt;"""")) - MIN(FILTER(COLUMN(C6:J6), C6:J6&lt;&gt;"""")) + 1)/7),"""")
"),13.475000000000001)</f>
        <v>13.475</v>
      </c>
      <c r="L6" s="14">
        <f>SUM(C6:J6)/(COLUMNS(C6:J6)/7)</f>
        <v>13.475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B7" s="13" t="s">
        <v>6</v>
      </c>
      <c r="C7" s="13" t="s">
        <v>40</v>
      </c>
      <c r="D7" s="13" t="s">
        <v>41</v>
      </c>
      <c r="E7" s="13" t="s">
        <v>42</v>
      </c>
      <c r="F7" s="13" t="s">
        <v>43</v>
      </c>
      <c r="G7" s="13"/>
      <c r="H7" s="13"/>
      <c r="I7" s="13" t="s">
        <v>44</v>
      </c>
      <c r="J7" s="13" t="s">
        <v>45</v>
      </c>
      <c r="K7" s="14"/>
      <c r="L7" s="1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5" t="s">
        <v>23</v>
      </c>
      <c r="B8" s="16" t="s">
        <v>5</v>
      </c>
      <c r="C8" s="16">
        <v>1.5</v>
      </c>
      <c r="D8" s="16">
        <v>2.0</v>
      </c>
      <c r="E8" s="16">
        <v>1.5</v>
      </c>
      <c r="F8" s="16">
        <v>1.5</v>
      </c>
      <c r="G8" s="16">
        <v>1.5</v>
      </c>
      <c r="H8" s="16"/>
      <c r="I8" s="16">
        <v>1.5</v>
      </c>
      <c r="J8" s="16">
        <v>1.5</v>
      </c>
      <c r="K8" s="17">
        <f>IFERROR(__xludf.DUMMYFUNCTION("IFERROR(SUM(C8:J8) / ((MAX(FILTER(COLUMN(C8:J8), C8:J8&lt;&gt;"""")) - MIN(FILTER(COLUMN(C8:J8), C8:J8&lt;&gt;"""")) + 1)/7),"""")
"),9.625)</f>
        <v>9.625</v>
      </c>
      <c r="L8" s="17">
        <f>SUM(C8:J8)/(COLUMNS(C8:J8)/7)</f>
        <v>9.625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B9" s="16" t="s">
        <v>6</v>
      </c>
      <c r="C9" s="16" t="s">
        <v>29</v>
      </c>
      <c r="D9" s="16" t="s">
        <v>46</v>
      </c>
      <c r="E9" s="16" t="s">
        <v>47</v>
      </c>
      <c r="F9" s="16" t="s">
        <v>48</v>
      </c>
      <c r="G9" s="16" t="s">
        <v>49</v>
      </c>
      <c r="H9" s="16"/>
      <c r="I9" s="16" t="s">
        <v>50</v>
      </c>
      <c r="J9" s="16" t="s">
        <v>51</v>
      </c>
      <c r="K9" s="17"/>
      <c r="L9" s="17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" t="s">
        <v>0</v>
      </c>
      <c r="B12" s="1" t="s">
        <v>52</v>
      </c>
      <c r="C12" s="2">
        <v>46078.0</v>
      </c>
      <c r="D12" s="2">
        <v>46079.0</v>
      </c>
      <c r="E12" s="2">
        <v>46080.0</v>
      </c>
      <c r="F12" s="2">
        <v>46081.0</v>
      </c>
      <c r="G12" s="2">
        <v>46082.0</v>
      </c>
      <c r="H12" s="2">
        <v>46083.0</v>
      </c>
      <c r="I12" s="2">
        <v>46084.0</v>
      </c>
      <c r="J12" s="2">
        <v>46085.0</v>
      </c>
      <c r="K12" s="2">
        <v>46086.0</v>
      </c>
      <c r="L12" s="3" t="s">
        <v>2</v>
      </c>
      <c r="M12" s="3" t="s">
        <v>3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5" t="s">
        <v>4</v>
      </c>
      <c r="B13" s="6" t="s">
        <v>5</v>
      </c>
      <c r="C13" s="6">
        <v>3.8</v>
      </c>
      <c r="D13" s="6">
        <v>1.5</v>
      </c>
      <c r="E13" s="6"/>
      <c r="F13" s="6"/>
      <c r="G13" s="6">
        <v>3.5</v>
      </c>
      <c r="H13" s="6">
        <v>1.0</v>
      </c>
      <c r="I13" s="6">
        <v>1.5</v>
      </c>
      <c r="J13" s="6">
        <v>4.0</v>
      </c>
      <c r="K13" s="6">
        <v>1.5</v>
      </c>
      <c r="L13" s="26">
        <f>IFERROR(__xludf.DUMMYFUNCTION("IFERROR(SUM(C13:K13) / ((MAX(FILTER(COLUMN(C13:K13), C13:K13&lt;&gt;"""")) - MIN(FILTER(COLUMN(C13:K13), C13:K13&lt;&gt;"""")) + 1)/7),"""")
"),13.066666666666666)</f>
        <v>13.06666667</v>
      </c>
      <c r="M13" s="8">
        <f>SUM(C13:K13)/(COLUMNS(C13:K13)/7)</f>
        <v>13.06666667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B14" s="6" t="s">
        <v>6</v>
      </c>
      <c r="C14" s="6" t="s">
        <v>53</v>
      </c>
      <c r="D14" s="6" t="s">
        <v>54</v>
      </c>
      <c r="E14" s="6"/>
      <c r="F14" s="6"/>
      <c r="G14" s="6" t="s">
        <v>55</v>
      </c>
      <c r="H14" s="6" t="s">
        <v>56</v>
      </c>
      <c r="I14" s="6" t="s">
        <v>57</v>
      </c>
      <c r="J14" s="6" t="s">
        <v>58</v>
      </c>
      <c r="K14" s="6" t="s">
        <v>59</v>
      </c>
      <c r="L14" s="26"/>
      <c r="M14" s="8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9" t="s">
        <v>14</v>
      </c>
      <c r="B15" s="10" t="s">
        <v>5</v>
      </c>
      <c r="C15" s="10">
        <v>2.5</v>
      </c>
      <c r="D15" s="10">
        <v>1.5</v>
      </c>
      <c r="E15" s="10"/>
      <c r="F15" s="10">
        <v>1.0</v>
      </c>
      <c r="G15" s="10"/>
      <c r="H15" s="10">
        <v>2.5</v>
      </c>
      <c r="I15" s="10">
        <v>2.0</v>
      </c>
      <c r="J15" s="10">
        <v>3.0</v>
      </c>
      <c r="K15" s="10">
        <v>1.5</v>
      </c>
      <c r="L15" s="27">
        <f>IFERROR(__xludf.DUMMYFUNCTION("IFERROR(SUM(C15:K15) / ((MAX(FILTER(COLUMN(C15:K15), C15:K15&lt;&gt;"""")) - MIN(FILTER(COLUMN(C15:K15), C15:K15&lt;&gt;"""")) + 1)/7),"""")
"),10.888888888888888)</f>
        <v>10.88888889</v>
      </c>
      <c r="M15" s="11">
        <f>SUM(C15:K15)/(COLUMNS(C15:K15)/7)</f>
        <v>10.88888889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B16" s="10" t="s">
        <v>6</v>
      </c>
      <c r="C16" s="10" t="s">
        <v>60</v>
      </c>
      <c r="D16" s="10" t="s">
        <v>61</v>
      </c>
      <c r="E16" s="10"/>
      <c r="F16" s="10" t="s">
        <v>62</v>
      </c>
      <c r="G16" s="10"/>
      <c r="H16" s="10" t="s">
        <v>63</v>
      </c>
      <c r="I16" s="10" t="s">
        <v>64</v>
      </c>
      <c r="J16" s="10" t="s">
        <v>65</v>
      </c>
      <c r="K16" s="10" t="s">
        <v>66</v>
      </c>
      <c r="L16" s="27"/>
      <c r="M16" s="11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2" t="s">
        <v>19</v>
      </c>
      <c r="B17" s="13" t="s">
        <v>5</v>
      </c>
      <c r="C17" s="13">
        <v>4.2</v>
      </c>
      <c r="D17" s="13">
        <v>1.5</v>
      </c>
      <c r="E17" s="13"/>
      <c r="F17" s="13"/>
      <c r="G17" s="13"/>
      <c r="H17" s="13"/>
      <c r="I17" s="13">
        <v>1.5</v>
      </c>
      <c r="J17" s="13">
        <v>3.0</v>
      </c>
      <c r="K17" s="13">
        <v>1.5</v>
      </c>
      <c r="L17" s="28">
        <f>IFERROR(__xludf.DUMMYFUNCTION("IFERROR(SUM(C17:K17) / ((MAX(FILTER(COLUMN(C17:K17), C17:K17&lt;&gt;"""")) - MIN(FILTER(COLUMN(C17:K17), C17:K17&lt;&gt;"""")) + 1)/7),"""")
"),9.1)</f>
        <v>9.1</v>
      </c>
      <c r="M17" s="14">
        <f>SUM(C17:K17)/(COLUMNS(C17:K17)/7)</f>
        <v>9.1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B18" s="13" t="s">
        <v>6</v>
      </c>
      <c r="C18" s="13" t="s">
        <v>67</v>
      </c>
      <c r="D18" s="13" t="s">
        <v>68</v>
      </c>
      <c r="E18" s="13"/>
      <c r="F18" s="13"/>
      <c r="G18" s="13"/>
      <c r="H18" s="13"/>
      <c r="I18" s="13" t="s">
        <v>69</v>
      </c>
      <c r="J18" s="13" t="s">
        <v>70</v>
      </c>
      <c r="K18" s="13" t="s">
        <v>66</v>
      </c>
      <c r="L18" s="28"/>
      <c r="M18" s="1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5" t="s">
        <v>23</v>
      </c>
      <c r="B19" s="16" t="s">
        <v>5</v>
      </c>
      <c r="C19" s="16">
        <v>3.0</v>
      </c>
      <c r="D19" s="16">
        <v>1.5</v>
      </c>
      <c r="E19" s="16"/>
      <c r="F19" s="16"/>
      <c r="G19" s="16">
        <v>3.0</v>
      </c>
      <c r="H19" s="16">
        <v>1.0</v>
      </c>
      <c r="I19" s="16">
        <v>1.5</v>
      </c>
      <c r="J19" s="16">
        <v>3.0</v>
      </c>
      <c r="K19" s="16">
        <v>1.5</v>
      </c>
      <c r="L19" s="29">
        <f>IFERROR(__xludf.DUMMYFUNCTION("IFERROR(SUM(C19:K19) / ((MAX(FILTER(COLUMN(C19:K19), C19:K19&lt;&gt;"""")) - MIN(FILTER(COLUMN(C19:K19), C19:K19&lt;&gt;"""")) + 1)/7),"""")
"),11.277777777777777)</f>
        <v>11.27777778</v>
      </c>
      <c r="M19" s="17">
        <f>SUM(C19:K19)/(COLUMNS(C19:K19)/7)</f>
        <v>11.27777778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56.25" customHeight="1">
      <c r="B20" s="16" t="s">
        <v>6</v>
      </c>
      <c r="C20" s="16" t="s">
        <v>71</v>
      </c>
      <c r="D20" s="16" t="s">
        <v>72</v>
      </c>
      <c r="E20" s="16"/>
      <c r="F20" s="16"/>
      <c r="G20" s="16" t="s">
        <v>73</v>
      </c>
      <c r="H20" s="16" t="s">
        <v>74</v>
      </c>
      <c r="I20" s="16" t="s">
        <v>75</v>
      </c>
      <c r="J20" s="16" t="s">
        <v>76</v>
      </c>
      <c r="K20" s="16" t="s">
        <v>77</v>
      </c>
      <c r="L20" s="29"/>
      <c r="M20" s="17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</sheetData>
  <mergeCells count="8">
    <mergeCell ref="A2:A3"/>
    <mergeCell ref="A4:A5"/>
    <mergeCell ref="A6:A7"/>
    <mergeCell ref="A8:A9"/>
    <mergeCell ref="A13:A14"/>
    <mergeCell ref="A15:A16"/>
    <mergeCell ref="A17:A18"/>
    <mergeCell ref="A19:A2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14.25"/>
    <col customWidth="1" min="10" max="10" width="12.75"/>
    <col customWidth="1" min="13" max="13" width="12.63"/>
  </cols>
  <sheetData>
    <row r="1">
      <c r="A1" s="30" t="s">
        <v>0</v>
      </c>
      <c r="B1" s="1" t="s">
        <v>28</v>
      </c>
      <c r="C1" s="31">
        <v>46070.0</v>
      </c>
      <c r="D1" s="31">
        <v>46071.0</v>
      </c>
      <c r="E1" s="31">
        <v>46072.0</v>
      </c>
      <c r="F1" s="31">
        <v>46073.0</v>
      </c>
      <c r="G1" s="31">
        <v>46074.0</v>
      </c>
      <c r="H1" s="31">
        <v>46075.0</v>
      </c>
      <c r="I1" s="31">
        <v>46076.0</v>
      </c>
      <c r="J1" s="31">
        <v>46077.0</v>
      </c>
      <c r="K1" s="31">
        <v>46078.0</v>
      </c>
      <c r="L1" s="31">
        <v>46079.0</v>
      </c>
      <c r="M1" s="3" t="s">
        <v>2</v>
      </c>
      <c r="N1" s="3" t="s">
        <v>3</v>
      </c>
    </row>
    <row r="2">
      <c r="A2" s="32" t="s">
        <v>78</v>
      </c>
      <c r="B2" s="33" t="s">
        <v>5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4" t="str">
        <f>IFERROR(__xludf.DUMMYFUNCTION("IFERROR(SUM(C2:L2) / ((MAX(FILTER(COLUMN(C2:L2), C2:L2&lt;&gt;"""")) - MIN(FILTER(COLUMN(C2:L2), C2:L2&lt;&gt;"""")) + 1)/7),"""")
"),"")</f>
        <v/>
      </c>
      <c r="N2" s="35">
        <f>SUM(C2:L2)/(COLUMNS(C2:L2)/7)</f>
        <v>0</v>
      </c>
    </row>
    <row r="3">
      <c r="B3" s="33" t="s">
        <v>6</v>
      </c>
      <c r="C3" s="6"/>
      <c r="D3" s="6"/>
      <c r="E3" s="6"/>
      <c r="F3" s="6"/>
      <c r="G3" s="6"/>
      <c r="H3" s="6"/>
      <c r="I3" s="6"/>
      <c r="J3" s="6"/>
      <c r="K3" s="6"/>
      <c r="L3" s="6"/>
      <c r="M3" s="34"/>
      <c r="N3" s="35"/>
    </row>
    <row r="4">
      <c r="A4" s="36" t="s">
        <v>79</v>
      </c>
      <c r="B4" s="37" t="s">
        <v>5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8" t="str">
        <f>IFERROR(__xludf.DUMMYFUNCTION("IFERROR(SUM(C4:L4) / ((MAX(FILTER(COLUMN(C4:L4), C4:L4&lt;&gt;"""")) - MIN(FILTER(COLUMN(C4:L4), C4:L4&lt;&gt;"""")) + 1)/7),"""")
"),"")</f>
        <v/>
      </c>
      <c r="N4" s="39">
        <f>SUM(C4:L4)/(COLUMNS(C4:L4)/7)</f>
        <v>0</v>
      </c>
    </row>
    <row r="5">
      <c r="B5" s="37" t="s">
        <v>6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8"/>
      <c r="N5" s="39"/>
    </row>
    <row r="6">
      <c r="A6" s="40" t="s">
        <v>80</v>
      </c>
      <c r="B6" s="41" t="s">
        <v>5</v>
      </c>
      <c r="C6" s="41"/>
      <c r="D6" s="41"/>
      <c r="E6" s="41"/>
      <c r="F6" s="41"/>
      <c r="G6" s="41"/>
      <c r="H6" s="41"/>
      <c r="I6" s="41"/>
      <c r="J6" s="41"/>
      <c r="K6" s="41"/>
      <c r="L6" s="41"/>
      <c r="M6" s="42" t="str">
        <f>IFERROR(__xludf.DUMMYFUNCTION("IFERROR(SUM(C6:L6) / ((MAX(FILTER(COLUMN(C6:L6), C6:L6&lt;&gt;"""")) - MIN(FILTER(COLUMN(C6:L6), C6:L6&lt;&gt;"""")) + 1)/7),"""")
"),"")</f>
        <v/>
      </c>
      <c r="N6" s="43">
        <f>SUM(C6:L6)/(COLUMNS(C6:L6)/7)</f>
        <v>0</v>
      </c>
    </row>
    <row r="7">
      <c r="B7" s="41" t="s">
        <v>6</v>
      </c>
      <c r="C7" s="41"/>
      <c r="D7" s="41"/>
      <c r="E7" s="41"/>
      <c r="F7" s="41"/>
      <c r="G7" s="41"/>
      <c r="H7" s="41"/>
      <c r="I7" s="41"/>
      <c r="J7" s="41"/>
      <c r="K7" s="41"/>
      <c r="L7" s="41"/>
      <c r="M7" s="42"/>
      <c r="N7" s="43"/>
    </row>
    <row r="8">
      <c r="A8" s="44" t="s">
        <v>81</v>
      </c>
      <c r="B8" s="45" t="s">
        <v>5</v>
      </c>
      <c r="C8" s="45"/>
      <c r="D8" s="45"/>
      <c r="E8" s="45"/>
      <c r="F8" s="45"/>
      <c r="G8" s="45"/>
      <c r="H8" s="45"/>
      <c r="I8" s="45"/>
      <c r="J8" s="45"/>
      <c r="K8" s="45"/>
      <c r="L8" s="45"/>
      <c r="M8" s="46" t="str">
        <f>IFERROR(__xludf.DUMMYFUNCTION("IFERROR(SUM(C8:L8) / ((MAX(FILTER(COLUMN(C8:L8), C8:L8&lt;&gt;"""")) - MIN(FILTER(COLUMN(C8:L8), C8:L8&lt;&gt;"""")) + 1)/7),"""")
"),"")</f>
        <v/>
      </c>
      <c r="N8" s="47">
        <f>SUM(C8:L8)/(COLUMNS(C8:L8)/7)</f>
        <v>0</v>
      </c>
    </row>
    <row r="9">
      <c r="B9" s="45" t="s">
        <v>6</v>
      </c>
      <c r="C9" s="45"/>
      <c r="D9" s="45"/>
      <c r="E9" s="45"/>
      <c r="F9" s="45"/>
      <c r="G9" s="45"/>
      <c r="H9" s="45"/>
      <c r="I9" s="45"/>
      <c r="J9" s="45"/>
      <c r="K9" s="45"/>
      <c r="L9" s="45"/>
      <c r="M9" s="47"/>
      <c r="N9" s="47"/>
    </row>
    <row r="12">
      <c r="A12" s="30" t="s">
        <v>0</v>
      </c>
      <c r="B12" s="1" t="s">
        <v>52</v>
      </c>
      <c r="C12" s="31">
        <v>46080.0</v>
      </c>
      <c r="D12" s="31">
        <v>46081.0</v>
      </c>
      <c r="E12" s="31">
        <v>46082.0</v>
      </c>
      <c r="F12" s="31">
        <v>46083.0</v>
      </c>
      <c r="G12" s="31">
        <v>46084.0</v>
      </c>
      <c r="H12" s="31">
        <v>46085.0</v>
      </c>
      <c r="I12" s="31">
        <v>46086.0</v>
      </c>
      <c r="J12" s="3" t="s">
        <v>2</v>
      </c>
      <c r="K12" s="3" t="s">
        <v>3</v>
      </c>
      <c r="L12" s="48"/>
      <c r="M12" s="49"/>
    </row>
    <row r="13">
      <c r="A13" s="32" t="s">
        <v>78</v>
      </c>
      <c r="B13" s="33" t="s">
        <v>5</v>
      </c>
      <c r="C13" s="33"/>
      <c r="D13" s="33"/>
      <c r="E13" s="33"/>
      <c r="F13" s="33"/>
      <c r="G13" s="33"/>
      <c r="H13" s="33"/>
      <c r="I13" s="33"/>
      <c r="J13" s="50" t="str">
        <f>IFERROR(__xludf.DUMMYFUNCTION("IFERROR(SUM(C13:I13) / ((MAX(FILTER(COLUMN(C13:I13), C13:I13&lt;&gt;"""")) - MIN(FILTER(COLUMN(C13:I13), C13:I13&lt;&gt;"""")) + 1)/7),"""")
"),"")</f>
        <v/>
      </c>
      <c r="K13" s="34">
        <f>SUM(C13:I13)/(COLUMNS(C13:I13)/7)</f>
        <v>0</v>
      </c>
      <c r="L13" s="51"/>
      <c r="M13" s="52"/>
    </row>
    <row r="14">
      <c r="B14" s="33" t="s">
        <v>6</v>
      </c>
      <c r="C14" s="6"/>
      <c r="D14" s="6"/>
      <c r="E14" s="6"/>
      <c r="F14" s="6"/>
      <c r="G14" s="6"/>
      <c r="H14" s="6"/>
      <c r="I14" s="6"/>
      <c r="J14" s="50"/>
      <c r="K14" s="34"/>
      <c r="L14" s="19"/>
      <c r="M14" s="24"/>
    </row>
    <row r="15">
      <c r="A15" s="36" t="s">
        <v>79</v>
      </c>
      <c r="B15" s="37" t="s">
        <v>5</v>
      </c>
      <c r="C15" s="37"/>
      <c r="D15" s="37"/>
      <c r="E15" s="37"/>
      <c r="F15" s="37"/>
      <c r="G15" s="37"/>
      <c r="H15" s="37"/>
      <c r="I15" s="37"/>
      <c r="J15" s="53" t="str">
        <f>IFERROR(__xludf.DUMMYFUNCTION("IFERROR(SUM(C15:I15) / ((MAX(FILTER(COLUMN(C15:I15), C15:I15&lt;&gt;"""")) - MIN(FILTER(COLUMN(C15:I15), C15:I15&lt;&gt;"""")) + 1)/7),"""")
"),"")</f>
        <v/>
      </c>
      <c r="K15" s="38">
        <f>SUM(C15:I15)/(COLUMNS(C15:I15)/7)</f>
        <v>0</v>
      </c>
      <c r="L15" s="51"/>
      <c r="M15" s="52"/>
    </row>
    <row r="16">
      <c r="B16" s="37" t="s">
        <v>6</v>
      </c>
      <c r="C16" s="37"/>
      <c r="D16" s="37"/>
      <c r="E16" s="37"/>
      <c r="F16" s="37"/>
      <c r="G16" s="37"/>
      <c r="H16" s="37"/>
      <c r="I16" s="37"/>
      <c r="J16" s="53"/>
      <c r="K16" s="38"/>
      <c r="L16" s="51"/>
      <c r="M16" s="52"/>
    </row>
    <row r="17">
      <c r="A17" s="40" t="s">
        <v>80</v>
      </c>
      <c r="B17" s="41" t="s">
        <v>5</v>
      </c>
      <c r="C17" s="41"/>
      <c r="D17" s="41"/>
      <c r="E17" s="41"/>
      <c r="F17" s="41"/>
      <c r="G17" s="41"/>
      <c r="H17" s="41"/>
      <c r="I17" s="41"/>
      <c r="J17" s="54" t="str">
        <f>IFERROR(__xludf.DUMMYFUNCTION("IFERROR(SUM(C17:I17) / ((MAX(FILTER(COLUMN(C17:I17), C17:I17&lt;&gt;"""")) - MIN(FILTER(COLUMN(C17:I17), C17:I17&lt;&gt;"""")) + 1)/7),"""")
"),"")</f>
        <v/>
      </c>
      <c r="K17" s="42">
        <f>SUM(C17:I17)/(COLUMNS(C17:I17)/7)</f>
        <v>0</v>
      </c>
      <c r="L17" s="51"/>
      <c r="M17" s="52"/>
    </row>
    <row r="18">
      <c r="B18" s="41" t="s">
        <v>6</v>
      </c>
      <c r="C18" s="41"/>
      <c r="D18" s="41"/>
      <c r="E18" s="41"/>
      <c r="F18" s="41"/>
      <c r="G18" s="41"/>
      <c r="H18" s="41"/>
      <c r="I18" s="41"/>
      <c r="J18" s="54"/>
      <c r="K18" s="42"/>
      <c r="L18" s="51"/>
      <c r="M18" s="52"/>
    </row>
    <row r="19">
      <c r="A19" s="44" t="s">
        <v>81</v>
      </c>
      <c r="B19" s="45" t="s">
        <v>5</v>
      </c>
      <c r="C19" s="45"/>
      <c r="D19" s="45"/>
      <c r="E19" s="45"/>
      <c r="F19" s="45"/>
      <c r="G19" s="45"/>
      <c r="H19" s="45"/>
      <c r="I19" s="45"/>
      <c r="J19" s="55" t="str">
        <f>IFERROR(__xludf.DUMMYFUNCTION("IFERROR(SUM(C19:I19) / ((MAX(FILTER(COLUMN(C19:I19), C19:I19&lt;&gt;"""")) - MIN(FILTER(COLUMN(C19:I19), C19:I19&lt;&gt;"""")) + 1)/7),"""")
"),"")</f>
        <v/>
      </c>
      <c r="K19" s="46">
        <f>SUM(C19:I19)/(COLUMNS(C19:I19)/7)</f>
        <v>0</v>
      </c>
      <c r="L19" s="51"/>
      <c r="M19" s="52"/>
    </row>
    <row r="20">
      <c r="B20" s="45" t="s">
        <v>6</v>
      </c>
      <c r="C20" s="45"/>
      <c r="D20" s="45"/>
      <c r="E20" s="45"/>
      <c r="F20" s="45"/>
      <c r="G20" s="45"/>
      <c r="H20" s="45"/>
      <c r="I20" s="45"/>
      <c r="J20" s="46"/>
      <c r="K20" s="46"/>
      <c r="L20" s="51"/>
      <c r="M20" s="52"/>
    </row>
  </sheetData>
  <mergeCells count="8">
    <mergeCell ref="A2:A3"/>
    <mergeCell ref="A4:A5"/>
    <mergeCell ref="A6:A7"/>
    <mergeCell ref="A8:A9"/>
    <mergeCell ref="A13:A14"/>
    <mergeCell ref="A15:A16"/>
    <mergeCell ref="A17:A18"/>
    <mergeCell ref="A19:A2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14.25"/>
    <col customWidth="1" min="10" max="10" width="12.88"/>
    <col customWidth="1" min="12" max="12" width="12.13"/>
    <col customWidth="1" min="13" max="13" width="12.0"/>
  </cols>
  <sheetData>
    <row r="1">
      <c r="A1" s="1" t="s">
        <v>0</v>
      </c>
      <c r="B1" s="1" t="s">
        <v>28</v>
      </c>
      <c r="C1" s="2">
        <v>46098.0</v>
      </c>
      <c r="D1" s="2">
        <v>46099.0</v>
      </c>
      <c r="E1" s="2">
        <v>46100.0</v>
      </c>
      <c r="F1" s="2">
        <v>46101.0</v>
      </c>
      <c r="G1" s="2">
        <v>46102.0</v>
      </c>
      <c r="H1" s="2">
        <v>46103.0</v>
      </c>
      <c r="I1" s="2">
        <v>46104.0</v>
      </c>
      <c r="J1" s="2">
        <v>46105.0</v>
      </c>
      <c r="K1" s="3" t="s">
        <v>2</v>
      </c>
      <c r="L1" s="3" t="s">
        <v>3</v>
      </c>
      <c r="M1" s="18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5" t="s">
        <v>4</v>
      </c>
      <c r="B2" s="6" t="s">
        <v>5</v>
      </c>
      <c r="C2" s="6">
        <v>2.5</v>
      </c>
      <c r="D2" s="6"/>
      <c r="E2" s="6">
        <v>1.5</v>
      </c>
      <c r="F2" s="6"/>
      <c r="G2" s="6"/>
      <c r="H2" s="6">
        <v>2.0</v>
      </c>
      <c r="I2" s="6">
        <v>1.5</v>
      </c>
      <c r="J2" s="6">
        <v>3.0</v>
      </c>
      <c r="K2" s="8">
        <f>IFERROR(__xludf.DUMMYFUNCTION("IFERROR(SUM(C2:J2) / ((MAX(FILTER(COLUMN(C2:J2), C2:J2&lt;&gt;"""")) - MIN(FILTER(COLUMN(C2:J2), C2:J2&lt;&gt;"""")) + 1)/7),"""")
"),9.1875)</f>
        <v>9.1875</v>
      </c>
      <c r="L2" s="8">
        <f>SUM(C2:J2)/(COLUMNS(C2:J2)/7)</f>
        <v>9.1875</v>
      </c>
      <c r="M2" s="2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B3" s="6" t="s">
        <v>6</v>
      </c>
      <c r="C3" s="6" t="s">
        <v>82</v>
      </c>
      <c r="D3" s="6"/>
      <c r="E3" s="6" t="s">
        <v>83</v>
      </c>
      <c r="F3" s="6"/>
      <c r="G3" s="6"/>
      <c r="H3" s="6" t="s">
        <v>84</v>
      </c>
      <c r="I3" s="6" t="s">
        <v>85</v>
      </c>
      <c r="J3" s="6" t="s">
        <v>86</v>
      </c>
      <c r="K3" s="8"/>
      <c r="L3" s="8"/>
      <c r="M3" s="2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" t="s">
        <v>87</v>
      </c>
      <c r="B4" s="10" t="s">
        <v>5</v>
      </c>
      <c r="C4" s="10">
        <v>3.0</v>
      </c>
      <c r="D4" s="10"/>
      <c r="E4" s="10">
        <v>1.5</v>
      </c>
      <c r="F4" s="10"/>
      <c r="G4" s="10"/>
      <c r="H4" s="10">
        <v>1.5</v>
      </c>
      <c r="I4" s="10">
        <v>1.0</v>
      </c>
      <c r="J4" s="10">
        <v>3.0</v>
      </c>
      <c r="K4" s="11">
        <f>IFERROR(__xludf.DUMMYFUNCTION("IFERROR(SUM(C4:J4) / ((MAX(FILTER(COLUMN(C4:J4), C4:J4&lt;&gt;"""")) - MIN(FILTER(COLUMN(C4:J4), C4:J4&lt;&gt;"""")) + 1)/7),"""")
"),8.75)</f>
        <v>8.75</v>
      </c>
      <c r="L4" s="11">
        <f>SUM(C4:J4)/(COLUMNS(C4:J4)/7)</f>
        <v>8.75</v>
      </c>
      <c r="M4" s="2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B5" s="10" t="s">
        <v>6</v>
      </c>
      <c r="C5" s="10" t="s">
        <v>88</v>
      </c>
      <c r="D5" s="10"/>
      <c r="E5" s="10" t="s">
        <v>68</v>
      </c>
      <c r="F5" s="10"/>
      <c r="G5" s="10"/>
      <c r="H5" s="10" t="s">
        <v>89</v>
      </c>
      <c r="I5" s="10" t="s">
        <v>90</v>
      </c>
      <c r="J5" s="10" t="s">
        <v>91</v>
      </c>
      <c r="K5" s="11"/>
      <c r="L5" s="11"/>
      <c r="M5" s="2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2" t="s">
        <v>19</v>
      </c>
      <c r="B6" s="13" t="s">
        <v>5</v>
      </c>
      <c r="C6" s="13">
        <v>4.0</v>
      </c>
      <c r="D6" s="13">
        <v>1.0</v>
      </c>
      <c r="E6" s="13">
        <v>1.5</v>
      </c>
      <c r="F6" s="13">
        <v>2.5</v>
      </c>
      <c r="G6" s="13"/>
      <c r="H6" s="13"/>
      <c r="I6" s="13">
        <v>0.5</v>
      </c>
      <c r="J6" s="13">
        <v>3.0</v>
      </c>
      <c r="K6" s="14">
        <f>IFERROR(__xludf.DUMMYFUNCTION("IFERROR(SUM(C6:J6) / ((MAX(FILTER(COLUMN(C6:J6), C6:J6&lt;&gt;"""")) - MIN(FILTER(COLUMN(C6:J6), C6:J6&lt;&gt;"""")) + 1)/7),"""")
"),10.9375)</f>
        <v>10.9375</v>
      </c>
      <c r="L6" s="14">
        <f>SUM(C6:J6)/(COLUMNS(C6:J6)/7)</f>
        <v>10.9375</v>
      </c>
      <c r="M6" s="2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B7" s="13" t="s">
        <v>6</v>
      </c>
      <c r="C7" s="13" t="s">
        <v>92</v>
      </c>
      <c r="D7" s="13" t="s">
        <v>93</v>
      </c>
      <c r="E7" s="13" t="s">
        <v>68</v>
      </c>
      <c r="F7" s="13" t="s">
        <v>94</v>
      </c>
      <c r="G7" s="13"/>
      <c r="H7" s="13"/>
      <c r="I7" s="13" t="s">
        <v>95</v>
      </c>
      <c r="J7" s="13" t="s">
        <v>96</v>
      </c>
      <c r="K7" s="14"/>
      <c r="L7" s="14"/>
      <c r="M7" s="2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5" t="s">
        <v>23</v>
      </c>
      <c r="B8" s="16" t="s">
        <v>5</v>
      </c>
      <c r="C8" s="16">
        <v>2.5</v>
      </c>
      <c r="D8" s="16"/>
      <c r="E8" s="16">
        <v>1.5</v>
      </c>
      <c r="F8" s="16"/>
      <c r="G8" s="16"/>
      <c r="H8" s="16">
        <v>2.0</v>
      </c>
      <c r="I8" s="16">
        <v>1.0</v>
      </c>
      <c r="J8" s="16">
        <v>2.5</v>
      </c>
      <c r="K8" s="17">
        <f>IFERROR(__xludf.DUMMYFUNCTION("IFERROR(SUM(C8:J8) / ((MAX(FILTER(COLUMN(C8:J8), C8:J8&lt;&gt;"""")) - MIN(FILTER(COLUMN(C8:J8), C8:J8&lt;&gt;"""")) + 1)/7),"""")
"),8.3125)</f>
        <v>8.3125</v>
      </c>
      <c r="L8" s="17">
        <f>SUM(C8:J8)/(COLUMNS(C8:J8)/7)</f>
        <v>8.3125</v>
      </c>
      <c r="M8" s="2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B9" s="16" t="s">
        <v>6</v>
      </c>
      <c r="C9" s="16" t="s">
        <v>97</v>
      </c>
      <c r="D9" s="16"/>
      <c r="E9" s="16" t="s">
        <v>98</v>
      </c>
      <c r="F9" s="16"/>
      <c r="G9" s="16"/>
      <c r="H9" s="16" t="s">
        <v>99</v>
      </c>
      <c r="I9" s="16" t="s">
        <v>100</v>
      </c>
      <c r="J9" s="16" t="s">
        <v>101</v>
      </c>
      <c r="K9" s="17"/>
      <c r="L9" s="17"/>
      <c r="M9" s="2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" t="s">
        <v>0</v>
      </c>
      <c r="B12" s="1" t="s">
        <v>52</v>
      </c>
      <c r="C12" s="2">
        <v>46106.0</v>
      </c>
      <c r="D12" s="2">
        <v>46107.0</v>
      </c>
      <c r="E12" s="2">
        <v>46108.0</v>
      </c>
      <c r="F12" s="2">
        <v>46109.0</v>
      </c>
      <c r="G12" s="2">
        <v>46110.0</v>
      </c>
      <c r="H12" s="2">
        <v>46111.0</v>
      </c>
      <c r="I12" s="2">
        <v>46112.0</v>
      </c>
      <c r="J12" s="2">
        <v>46113.0</v>
      </c>
      <c r="K12" s="2">
        <v>46114.0</v>
      </c>
      <c r="L12" s="3" t="s">
        <v>2</v>
      </c>
      <c r="M12" s="3" t="s">
        <v>3</v>
      </c>
      <c r="N12" s="56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5" t="s">
        <v>4</v>
      </c>
      <c r="B13" s="6" t="s">
        <v>5</v>
      </c>
      <c r="C13" s="6">
        <v>1.5</v>
      </c>
      <c r="D13" s="6">
        <v>1.5</v>
      </c>
      <c r="E13" s="6"/>
      <c r="F13" s="6"/>
      <c r="G13" s="6">
        <v>2.0</v>
      </c>
      <c r="H13" s="6">
        <v>4.0</v>
      </c>
      <c r="I13" s="6">
        <v>3.5</v>
      </c>
      <c r="J13" s="6">
        <v>9.0</v>
      </c>
      <c r="K13" s="6">
        <v>1.5</v>
      </c>
      <c r="L13" s="26">
        <f>IFERROR(__xludf.DUMMYFUNCTION("IFERROR(SUM(C13:K13) / ((MAX(FILTER(COLUMN(C13:K13), C13:K13&lt;&gt;"""")) - MIN(FILTER(COLUMN(C13:K13), C13:K13&lt;&gt;"""")) + 1)/7),"""")
"),17.88888888888889)</f>
        <v>17.88888889</v>
      </c>
      <c r="M13" s="8">
        <f>SUM(C13:K13)/(COLUMNS(C13:K13)/7)</f>
        <v>17.88888889</v>
      </c>
      <c r="N13" s="19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B14" s="6" t="s">
        <v>6</v>
      </c>
      <c r="C14" s="6" t="s">
        <v>102</v>
      </c>
      <c r="D14" s="6" t="s">
        <v>103</v>
      </c>
      <c r="E14" s="6"/>
      <c r="F14" s="6"/>
      <c r="G14" s="6" t="s">
        <v>104</v>
      </c>
      <c r="H14" s="6" t="s">
        <v>105</v>
      </c>
      <c r="I14" s="6" t="s">
        <v>106</v>
      </c>
      <c r="J14" s="6" t="s">
        <v>107</v>
      </c>
      <c r="K14" s="6" t="s">
        <v>108</v>
      </c>
      <c r="L14" s="26"/>
      <c r="M14" s="8"/>
      <c r="N14" s="19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9" t="s">
        <v>14</v>
      </c>
      <c r="B15" s="10" t="s">
        <v>5</v>
      </c>
      <c r="C15" s="10">
        <v>4.0</v>
      </c>
      <c r="D15" s="10">
        <v>1.5</v>
      </c>
      <c r="E15" s="10"/>
      <c r="F15" s="10"/>
      <c r="G15" s="10"/>
      <c r="H15" s="10">
        <v>4.5</v>
      </c>
      <c r="I15" s="10">
        <v>3.0</v>
      </c>
      <c r="J15" s="10">
        <v>7.0</v>
      </c>
      <c r="K15" s="10">
        <v>1.5</v>
      </c>
      <c r="L15" s="27">
        <f>IFERROR(__xludf.DUMMYFUNCTION("IFERROR(SUM(C15:K15) / ((MAX(FILTER(COLUMN(C15:K15), C15:K15&lt;&gt;"""")) - MIN(FILTER(COLUMN(C15:K15), C15:K15&lt;&gt;"""")) + 1)/7),"""")
"),16.72222222222222)</f>
        <v>16.72222222</v>
      </c>
      <c r="M15" s="11">
        <f>SUM(C15:K15)/(COLUMNS(C15:K15)/7)</f>
        <v>16.72222222</v>
      </c>
      <c r="N15" s="19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B16" s="10" t="s">
        <v>6</v>
      </c>
      <c r="C16" s="10" t="s">
        <v>109</v>
      </c>
      <c r="D16" s="10" t="s">
        <v>110</v>
      </c>
      <c r="E16" s="10"/>
      <c r="F16" s="10"/>
      <c r="G16" s="10"/>
      <c r="H16" s="10" t="s">
        <v>111</v>
      </c>
      <c r="I16" s="10" t="s">
        <v>112</v>
      </c>
      <c r="J16" s="10" t="s">
        <v>113</v>
      </c>
      <c r="K16" s="10" t="s">
        <v>108</v>
      </c>
      <c r="L16" s="27"/>
      <c r="M16" s="11"/>
      <c r="N16" s="19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2" t="s">
        <v>19</v>
      </c>
      <c r="B17" s="13" t="s">
        <v>5</v>
      </c>
      <c r="C17" s="13">
        <v>1.0</v>
      </c>
      <c r="D17" s="13">
        <v>1.5</v>
      </c>
      <c r="E17" s="13">
        <v>1.5</v>
      </c>
      <c r="F17" s="13">
        <v>2.0</v>
      </c>
      <c r="G17" s="13"/>
      <c r="H17" s="13">
        <v>3.0</v>
      </c>
      <c r="I17" s="13">
        <v>5.0</v>
      </c>
      <c r="J17" s="13">
        <v>9.0</v>
      </c>
      <c r="K17" s="13">
        <v>1.5</v>
      </c>
      <c r="L17" s="28">
        <f>IFERROR(__xludf.DUMMYFUNCTION("IFERROR(SUM(C17:K17) / ((MAX(FILTER(COLUMN(C17:K17), C17:K17&lt;&gt;"""")) - MIN(FILTER(COLUMN(C17:K17), C17:K17&lt;&gt;"""")) + 1)/7),"""")
"),19.055555555555554)</f>
        <v>19.05555556</v>
      </c>
      <c r="M17" s="14">
        <f>SUM(C17:K17)/(COLUMNS(C17:K17)/7)</f>
        <v>19.05555556</v>
      </c>
      <c r="N17" s="19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B18" s="13" t="s">
        <v>6</v>
      </c>
      <c r="C18" s="13" t="s">
        <v>114</v>
      </c>
      <c r="D18" s="13" t="s">
        <v>68</v>
      </c>
      <c r="E18" s="13" t="s">
        <v>115</v>
      </c>
      <c r="F18" s="13" t="s">
        <v>116</v>
      </c>
      <c r="G18" s="13"/>
      <c r="H18" s="13" t="s">
        <v>117</v>
      </c>
      <c r="I18" s="13" t="s">
        <v>118</v>
      </c>
      <c r="J18" s="13" t="s">
        <v>119</v>
      </c>
      <c r="K18" s="13" t="s">
        <v>120</v>
      </c>
      <c r="L18" s="28"/>
      <c r="M18" s="14"/>
      <c r="N18" s="19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5" t="s">
        <v>23</v>
      </c>
      <c r="B19" s="16" t="s">
        <v>5</v>
      </c>
      <c r="C19" s="16">
        <v>1.0</v>
      </c>
      <c r="D19" s="16">
        <v>1.5</v>
      </c>
      <c r="E19" s="16">
        <v>1.5</v>
      </c>
      <c r="F19" s="16">
        <v>1.0</v>
      </c>
      <c r="G19" s="16"/>
      <c r="H19" s="16"/>
      <c r="I19" s="16">
        <v>2.0</v>
      </c>
      <c r="J19" s="16">
        <v>4.0</v>
      </c>
      <c r="K19" s="16">
        <v>1.5</v>
      </c>
      <c r="L19" s="29">
        <f>IFERROR(__xludf.DUMMYFUNCTION("IFERROR(SUM(C19:K19) / ((MAX(FILTER(COLUMN(C19:K19), C19:K19&lt;&gt;"""")) - MIN(FILTER(COLUMN(C19:K19), C19:K19&lt;&gt;"""")) + 1)/7),"""")
"),9.722222222222221)</f>
        <v>9.722222222</v>
      </c>
      <c r="M19" s="17">
        <f>SUM(C19:K19)/(COLUMNS(C19:K19)/7)</f>
        <v>9.722222222</v>
      </c>
      <c r="N19" s="19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B20" s="16" t="s">
        <v>6</v>
      </c>
      <c r="C20" s="16" t="s">
        <v>121</v>
      </c>
      <c r="D20" s="16" t="s">
        <v>122</v>
      </c>
      <c r="E20" s="16" t="s">
        <v>123</v>
      </c>
      <c r="F20" s="16" t="s">
        <v>124</v>
      </c>
      <c r="G20" s="16"/>
      <c r="H20" s="16"/>
      <c r="I20" s="16" t="s">
        <v>125</v>
      </c>
      <c r="J20" s="16" t="s">
        <v>126</v>
      </c>
      <c r="K20" s="16" t="s">
        <v>59</v>
      </c>
      <c r="L20" s="17"/>
      <c r="M20" s="17"/>
      <c r="N20" s="19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</sheetData>
  <mergeCells count="8">
    <mergeCell ref="A2:A3"/>
    <mergeCell ref="A4:A5"/>
    <mergeCell ref="A6:A7"/>
    <mergeCell ref="A8:A9"/>
    <mergeCell ref="A13:A14"/>
    <mergeCell ref="A15:A16"/>
    <mergeCell ref="A17:A18"/>
    <mergeCell ref="A19:A2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14.25"/>
    <col customWidth="1" min="10" max="10" width="12.75"/>
    <col customWidth="1" min="13" max="13" width="12.63"/>
  </cols>
  <sheetData>
    <row r="1">
      <c r="A1" s="30" t="s">
        <v>0</v>
      </c>
      <c r="B1" s="1" t="s">
        <v>28</v>
      </c>
      <c r="C1" s="31">
        <v>46098.0</v>
      </c>
      <c r="D1" s="31">
        <v>46099.0</v>
      </c>
      <c r="E1" s="31">
        <v>46100.0</v>
      </c>
      <c r="F1" s="31">
        <v>46101.0</v>
      </c>
      <c r="G1" s="31">
        <v>46102.0</v>
      </c>
      <c r="H1" s="31">
        <v>46103.0</v>
      </c>
      <c r="I1" s="31">
        <v>46104.0</v>
      </c>
      <c r="J1" s="31">
        <v>46105.0</v>
      </c>
      <c r="K1" s="31">
        <v>46106.0</v>
      </c>
      <c r="L1" s="31">
        <v>46107.0</v>
      </c>
      <c r="M1" s="3" t="s">
        <v>2</v>
      </c>
      <c r="N1" s="3" t="s">
        <v>3</v>
      </c>
      <c r="O1" s="57"/>
    </row>
    <row r="2">
      <c r="A2" s="32" t="s">
        <v>78</v>
      </c>
      <c r="B2" s="33" t="s">
        <v>5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4" t="str">
        <f>IFERROR(__xludf.DUMMYFUNCTION("IFERROR(SUM(C2:L2) / ((MAX(FILTER(COLUMN(C2:L2), C2:L2&lt;&gt;"""")) - MIN(FILTER(COLUMN(C2:L2), C2:L2&lt;&gt;"""")) + 1)/7),"""")
"),"")</f>
        <v/>
      </c>
      <c r="N2" s="35">
        <f>SUM(C2:L2)/(COLUMNS(C2:L2)/7)</f>
        <v>0</v>
      </c>
      <c r="O2" s="51"/>
    </row>
    <row r="3">
      <c r="B3" s="33" t="s">
        <v>6</v>
      </c>
      <c r="C3" s="6"/>
      <c r="D3" s="6"/>
      <c r="E3" s="6"/>
      <c r="F3" s="6"/>
      <c r="G3" s="6"/>
      <c r="H3" s="6"/>
      <c r="I3" s="6"/>
      <c r="J3" s="6"/>
      <c r="K3" s="6"/>
      <c r="L3" s="6"/>
      <c r="M3" s="34"/>
      <c r="N3" s="35"/>
      <c r="O3" s="19"/>
    </row>
    <row r="4">
      <c r="A4" s="36" t="s">
        <v>79</v>
      </c>
      <c r="B4" s="37" t="s">
        <v>5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8" t="str">
        <f>IFERROR(__xludf.DUMMYFUNCTION("IFERROR(SUM(C4:L4) / ((MAX(FILTER(COLUMN(C4:L4), C4:L4&lt;&gt;"""")) - MIN(FILTER(COLUMN(C4:L4), C4:L4&lt;&gt;"""")) + 1)/7),"""")
"),"")</f>
        <v/>
      </c>
      <c r="N4" s="39">
        <f>SUM(C4:L4)/(COLUMNS(C4:L4)/7)</f>
        <v>0</v>
      </c>
      <c r="O4" s="51"/>
    </row>
    <row r="5">
      <c r="B5" s="37" t="s">
        <v>6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8"/>
      <c r="N5" s="39"/>
      <c r="O5" s="51"/>
    </row>
    <row r="6">
      <c r="A6" s="40" t="s">
        <v>80</v>
      </c>
      <c r="B6" s="41" t="s">
        <v>5</v>
      </c>
      <c r="C6" s="41"/>
      <c r="D6" s="41"/>
      <c r="E6" s="41"/>
      <c r="F6" s="41"/>
      <c r="G6" s="41"/>
      <c r="H6" s="41"/>
      <c r="I6" s="41"/>
      <c r="J6" s="41"/>
      <c r="K6" s="41"/>
      <c r="L6" s="41"/>
      <c r="M6" s="42" t="str">
        <f>IFERROR(__xludf.DUMMYFUNCTION("IFERROR(SUM(C6:L6) / ((MAX(FILTER(COLUMN(C6:L6), C6:L6&lt;&gt;"""")) - MIN(FILTER(COLUMN(C6:L6), C6:L6&lt;&gt;"""")) + 1)/7),"""")
"),"")</f>
        <v/>
      </c>
      <c r="N6" s="43">
        <f>SUM(C6:L6)/(COLUMNS(C6:L6)/7)</f>
        <v>0</v>
      </c>
      <c r="O6" s="51"/>
    </row>
    <row r="7">
      <c r="B7" s="41" t="s">
        <v>6</v>
      </c>
      <c r="C7" s="41"/>
      <c r="D7" s="41"/>
      <c r="E7" s="41"/>
      <c r="F7" s="41"/>
      <c r="G7" s="41"/>
      <c r="H7" s="41"/>
      <c r="I7" s="41"/>
      <c r="J7" s="41"/>
      <c r="K7" s="41"/>
      <c r="L7" s="41"/>
      <c r="M7" s="42"/>
      <c r="N7" s="43"/>
      <c r="O7" s="51"/>
    </row>
    <row r="8">
      <c r="A8" s="44" t="s">
        <v>81</v>
      </c>
      <c r="B8" s="45" t="s">
        <v>5</v>
      </c>
      <c r="C8" s="45"/>
      <c r="D8" s="45"/>
      <c r="E8" s="45"/>
      <c r="F8" s="45"/>
      <c r="G8" s="45"/>
      <c r="H8" s="45"/>
      <c r="I8" s="45"/>
      <c r="J8" s="45"/>
      <c r="K8" s="45"/>
      <c r="L8" s="45"/>
      <c r="M8" s="46" t="str">
        <f>IFERROR(__xludf.DUMMYFUNCTION("IFERROR(SUM(C8:L8) / ((MAX(FILTER(COLUMN(C8:L8), C8:L8&lt;&gt;"""")) - MIN(FILTER(COLUMN(C8:L8), C8:L8&lt;&gt;"""")) + 1)/7),"""")
"),"")</f>
        <v/>
      </c>
      <c r="N8" s="47">
        <f>SUM(C8:L8)/(COLUMNS(C8:L8)/7)</f>
        <v>0</v>
      </c>
      <c r="O8" s="51"/>
    </row>
    <row r="9">
      <c r="B9" s="45" t="s">
        <v>6</v>
      </c>
      <c r="C9" s="45"/>
      <c r="D9" s="45"/>
      <c r="E9" s="45"/>
      <c r="F9" s="45"/>
      <c r="G9" s="45"/>
      <c r="H9" s="45"/>
      <c r="I9" s="45"/>
      <c r="J9" s="45"/>
      <c r="K9" s="45"/>
      <c r="L9" s="45"/>
      <c r="M9" s="47"/>
      <c r="N9" s="47"/>
      <c r="O9" s="51"/>
    </row>
    <row r="12">
      <c r="A12" s="30" t="s">
        <v>0</v>
      </c>
      <c r="B12" s="1" t="s">
        <v>52</v>
      </c>
      <c r="C12" s="31">
        <v>46108.0</v>
      </c>
      <c r="D12" s="31">
        <v>46109.0</v>
      </c>
      <c r="E12" s="31">
        <v>46110.0</v>
      </c>
      <c r="F12" s="31">
        <v>46111.0</v>
      </c>
      <c r="G12" s="31">
        <v>46112.0</v>
      </c>
      <c r="H12" s="31">
        <v>46113.0</v>
      </c>
      <c r="I12" s="31">
        <v>46114.0</v>
      </c>
      <c r="J12" s="3" t="s">
        <v>2</v>
      </c>
      <c r="K12" s="3" t="s">
        <v>3</v>
      </c>
      <c r="L12" s="48"/>
      <c r="M12" s="49"/>
    </row>
    <row r="13">
      <c r="A13" s="32" t="s">
        <v>78</v>
      </c>
      <c r="B13" s="33" t="s">
        <v>5</v>
      </c>
      <c r="C13" s="33"/>
      <c r="D13" s="33"/>
      <c r="E13" s="33"/>
      <c r="F13" s="33"/>
      <c r="G13" s="33"/>
      <c r="H13" s="33"/>
      <c r="I13" s="33"/>
      <c r="J13" s="50" t="str">
        <f>IFERROR(__xludf.DUMMYFUNCTION("IFERROR(SUM(C13:I13) / ((MAX(FILTER(COLUMN(C13:I13), C13:I13&lt;&gt;"""")) - MIN(FILTER(COLUMN(C13:I13), C13:I13&lt;&gt;"""")) + 1)/7),"""")
"),"")</f>
        <v/>
      </c>
      <c r="K13" s="34">
        <f>SUM(C13:I13)/(COLUMNS(C13:I13)/7)</f>
        <v>0</v>
      </c>
      <c r="L13" s="51"/>
      <c r="M13" s="52"/>
    </row>
    <row r="14">
      <c r="B14" s="33" t="s">
        <v>6</v>
      </c>
      <c r="C14" s="6"/>
      <c r="D14" s="6"/>
      <c r="E14" s="6"/>
      <c r="F14" s="6"/>
      <c r="G14" s="6"/>
      <c r="H14" s="6"/>
      <c r="I14" s="6"/>
      <c r="J14" s="50"/>
      <c r="K14" s="34"/>
      <c r="L14" s="19"/>
      <c r="M14" s="24"/>
    </row>
    <row r="15">
      <c r="A15" s="36" t="s">
        <v>79</v>
      </c>
      <c r="B15" s="37" t="s">
        <v>5</v>
      </c>
      <c r="C15" s="37"/>
      <c r="D15" s="37"/>
      <c r="E15" s="37"/>
      <c r="F15" s="37"/>
      <c r="G15" s="37"/>
      <c r="H15" s="37"/>
      <c r="I15" s="37"/>
      <c r="J15" s="53" t="str">
        <f>IFERROR(__xludf.DUMMYFUNCTION("IFERROR(SUM(C15:I15) / ((MAX(FILTER(COLUMN(C15:I15), C15:I15&lt;&gt;"""")) - MIN(FILTER(COLUMN(C15:I15), C15:I15&lt;&gt;"""")) + 1)/7),"""")
"),"")</f>
        <v/>
      </c>
      <c r="K15" s="38">
        <f>SUM(C15:I15)/(COLUMNS(C15:I15)/7)</f>
        <v>0</v>
      </c>
      <c r="L15" s="51"/>
      <c r="M15" s="52"/>
    </row>
    <row r="16">
      <c r="B16" s="37" t="s">
        <v>6</v>
      </c>
      <c r="C16" s="37"/>
      <c r="D16" s="37"/>
      <c r="E16" s="37"/>
      <c r="F16" s="37"/>
      <c r="G16" s="37"/>
      <c r="H16" s="37"/>
      <c r="I16" s="37"/>
      <c r="J16" s="53"/>
      <c r="K16" s="38"/>
      <c r="L16" s="51"/>
      <c r="M16" s="52"/>
    </row>
    <row r="17">
      <c r="A17" s="40" t="s">
        <v>80</v>
      </c>
      <c r="B17" s="41" t="s">
        <v>5</v>
      </c>
      <c r="C17" s="41"/>
      <c r="D17" s="41"/>
      <c r="E17" s="41"/>
      <c r="F17" s="41"/>
      <c r="G17" s="41"/>
      <c r="H17" s="41"/>
      <c r="I17" s="41"/>
      <c r="J17" s="54" t="str">
        <f>IFERROR(__xludf.DUMMYFUNCTION("IFERROR(SUM(C17:I17) / ((MAX(FILTER(COLUMN(C17:I17), C17:I17&lt;&gt;"""")) - MIN(FILTER(COLUMN(C17:I17), C17:I17&lt;&gt;"""")) + 1)/7),"""")
"),"")</f>
        <v/>
      </c>
      <c r="K17" s="42">
        <f>SUM(C17:I17)/(COLUMNS(C17:I17)/7)</f>
        <v>0</v>
      </c>
      <c r="L17" s="51"/>
      <c r="M17" s="52"/>
    </row>
    <row r="18">
      <c r="B18" s="41" t="s">
        <v>6</v>
      </c>
      <c r="C18" s="41"/>
      <c r="D18" s="41"/>
      <c r="E18" s="41"/>
      <c r="F18" s="41"/>
      <c r="G18" s="41"/>
      <c r="H18" s="41"/>
      <c r="I18" s="41"/>
      <c r="J18" s="54"/>
      <c r="K18" s="42"/>
      <c r="L18" s="51"/>
      <c r="M18" s="52"/>
    </row>
    <row r="19">
      <c r="A19" s="44" t="s">
        <v>81</v>
      </c>
      <c r="B19" s="45" t="s">
        <v>5</v>
      </c>
      <c r="C19" s="45"/>
      <c r="D19" s="45"/>
      <c r="E19" s="45"/>
      <c r="F19" s="45"/>
      <c r="G19" s="45"/>
      <c r="H19" s="45"/>
      <c r="I19" s="45"/>
      <c r="J19" s="55" t="str">
        <f>IFERROR(__xludf.DUMMYFUNCTION("IFERROR(SUM(C19:I19) / ((MAX(FILTER(COLUMN(C19:I19), C19:I19&lt;&gt;"""")) - MIN(FILTER(COLUMN(C19:I19), C19:I19&lt;&gt;"""")) + 1)/7),"""")
"),"")</f>
        <v/>
      </c>
      <c r="K19" s="46">
        <f>SUM(C19:I19)/(COLUMNS(C19:I19)/7)</f>
        <v>0</v>
      </c>
      <c r="L19" s="51"/>
      <c r="M19" s="52"/>
    </row>
    <row r="20">
      <c r="B20" s="45" t="s">
        <v>6</v>
      </c>
      <c r="C20" s="45"/>
      <c r="D20" s="45"/>
      <c r="E20" s="45"/>
      <c r="F20" s="45"/>
      <c r="G20" s="45"/>
      <c r="H20" s="45"/>
      <c r="I20" s="45"/>
      <c r="J20" s="46"/>
      <c r="K20" s="46"/>
      <c r="L20" s="51"/>
      <c r="M20" s="52"/>
    </row>
  </sheetData>
  <mergeCells count="8">
    <mergeCell ref="A2:A3"/>
    <mergeCell ref="A4:A5"/>
    <mergeCell ref="A6:A7"/>
    <mergeCell ref="A8:A9"/>
    <mergeCell ref="A13:A14"/>
    <mergeCell ref="A15:A16"/>
    <mergeCell ref="A17:A18"/>
    <mergeCell ref="A19:A2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14.25"/>
    <col customWidth="1" min="10" max="10" width="12.88"/>
    <col customWidth="1" min="12" max="12" width="12.13"/>
    <col customWidth="1" min="13" max="13" width="12.0"/>
    <col customWidth="1" min="15" max="15" width="12.75"/>
  </cols>
  <sheetData>
    <row r="1">
      <c r="A1" s="30" t="s">
        <v>0</v>
      </c>
      <c r="B1" s="1" t="s">
        <v>28</v>
      </c>
      <c r="C1" s="31">
        <v>46119.0</v>
      </c>
      <c r="D1" s="31">
        <v>46120.0</v>
      </c>
      <c r="E1" s="31">
        <v>46121.0</v>
      </c>
      <c r="F1" s="31">
        <v>46122.0</v>
      </c>
      <c r="G1" s="31">
        <v>46123.0</v>
      </c>
      <c r="H1" s="31">
        <v>46124.0</v>
      </c>
      <c r="I1" s="31">
        <v>46125.0</v>
      </c>
      <c r="J1" s="31">
        <v>46126.0</v>
      </c>
      <c r="K1" s="3" t="s">
        <v>2</v>
      </c>
      <c r="L1" s="3" t="s">
        <v>3</v>
      </c>
      <c r="M1" s="49"/>
    </row>
    <row r="2">
      <c r="A2" s="32" t="s">
        <v>4</v>
      </c>
      <c r="B2" s="33" t="s">
        <v>5</v>
      </c>
      <c r="C2" s="6">
        <v>1.5</v>
      </c>
      <c r="D2" s="6">
        <v>1.0</v>
      </c>
      <c r="E2" s="6">
        <v>1.5</v>
      </c>
      <c r="F2" s="6"/>
      <c r="G2" s="6"/>
      <c r="H2" s="6">
        <v>3.0</v>
      </c>
      <c r="I2" s="6">
        <v>2.0</v>
      </c>
      <c r="J2" s="6">
        <v>1.5</v>
      </c>
      <c r="K2" s="8">
        <f>IFERROR(__xludf.DUMMYFUNCTION("IFERROR(SUM(C2:J2) / ((MAX(FILTER(COLUMN(C2:J2), C2:J2&lt;&gt;"""")) - MIN(FILTER(COLUMN(C2:J2), C2:J2&lt;&gt;"""")) + 1)/7),"""")"),9.1875)</f>
        <v>9.1875</v>
      </c>
      <c r="L2" s="8">
        <f>SUM(C2:J2)/(COLUMNS(C2:J2)/7)</f>
        <v>9.1875</v>
      </c>
      <c r="M2" s="52"/>
    </row>
    <row r="3">
      <c r="B3" s="33" t="s">
        <v>6</v>
      </c>
      <c r="C3" s="6" t="s">
        <v>69</v>
      </c>
      <c r="D3" s="6" t="s">
        <v>127</v>
      </c>
      <c r="E3" s="6" t="s">
        <v>128</v>
      </c>
      <c r="F3" s="6"/>
      <c r="G3" s="6"/>
      <c r="H3" s="6" t="s">
        <v>129</v>
      </c>
      <c r="I3" s="6" t="s">
        <v>130</v>
      </c>
      <c r="J3" s="6" t="s">
        <v>131</v>
      </c>
      <c r="K3" s="8"/>
      <c r="L3" s="8"/>
      <c r="M3" s="24"/>
    </row>
    <row r="4">
      <c r="A4" s="36" t="s">
        <v>14</v>
      </c>
      <c r="B4" s="37" t="s">
        <v>5</v>
      </c>
      <c r="C4" s="10">
        <v>1.5</v>
      </c>
      <c r="D4" s="10">
        <v>1.0</v>
      </c>
      <c r="E4" s="10">
        <v>1.5</v>
      </c>
      <c r="F4" s="10"/>
      <c r="G4" s="10"/>
      <c r="H4" s="10"/>
      <c r="I4" s="10">
        <v>1.0</v>
      </c>
      <c r="J4" s="10">
        <v>2.0</v>
      </c>
      <c r="K4" s="11">
        <f>IFERROR(__xludf.DUMMYFUNCTION("IFERROR(SUM(C4:J4) / ((MAX(FILTER(COLUMN(C4:J4), C4:J4&lt;&gt;"""")) - MIN(FILTER(COLUMN(C4:J4), C4:J4&lt;&gt;"""")) + 1)/7),"""")"),6.125)</f>
        <v>6.125</v>
      </c>
      <c r="L4" s="11">
        <f>SUM(C4:J4)/(COLUMNS(C4:J4)/7)</f>
        <v>6.125</v>
      </c>
      <c r="M4" s="52"/>
    </row>
    <row r="5">
      <c r="B5" s="37" t="s">
        <v>6</v>
      </c>
      <c r="C5" s="10" t="s">
        <v>68</v>
      </c>
      <c r="D5" s="10" t="s">
        <v>132</v>
      </c>
      <c r="E5" s="10" t="s">
        <v>69</v>
      </c>
      <c r="F5" s="10"/>
      <c r="G5" s="10"/>
      <c r="H5" s="10"/>
      <c r="I5" s="10" t="s">
        <v>95</v>
      </c>
      <c r="J5" s="10" t="s">
        <v>133</v>
      </c>
      <c r="K5" s="11"/>
      <c r="L5" s="11"/>
      <c r="M5" s="52"/>
    </row>
    <row r="6">
      <c r="A6" s="40" t="s">
        <v>134</v>
      </c>
      <c r="B6" s="41" t="s">
        <v>5</v>
      </c>
      <c r="C6" s="13">
        <v>1.5</v>
      </c>
      <c r="D6" s="13"/>
      <c r="E6" s="13">
        <v>1.5</v>
      </c>
      <c r="F6" s="13">
        <v>1.5</v>
      </c>
      <c r="G6" s="13"/>
      <c r="H6" s="13">
        <v>1.0</v>
      </c>
      <c r="I6" s="13">
        <v>1.0</v>
      </c>
      <c r="J6" s="13">
        <v>3.0</v>
      </c>
      <c r="K6" s="14">
        <f>IFERROR(__xludf.DUMMYFUNCTION("IFERROR(SUM(C6:J6) / ((MAX(FILTER(COLUMN(C6:J6), C6:J6&lt;&gt;"""")) - MIN(FILTER(COLUMN(C6:J6), C6:J6&lt;&gt;"""")) + 1)/7),"""")"),8.3125)</f>
        <v>8.3125</v>
      </c>
      <c r="L6" s="14">
        <f>SUM(C6:J6)/(COLUMNS(C6:J6)/7)</f>
        <v>8.3125</v>
      </c>
      <c r="M6" s="52"/>
    </row>
    <row r="7">
      <c r="B7" s="41" t="s">
        <v>6</v>
      </c>
      <c r="C7" s="13" t="s">
        <v>135</v>
      </c>
      <c r="D7" s="13"/>
      <c r="E7" s="13" t="s">
        <v>68</v>
      </c>
      <c r="F7" s="13" t="s">
        <v>136</v>
      </c>
      <c r="G7" s="13"/>
      <c r="H7" s="13" t="s">
        <v>137</v>
      </c>
      <c r="I7" s="13" t="s">
        <v>95</v>
      </c>
      <c r="J7" s="13" t="s">
        <v>138</v>
      </c>
      <c r="K7" s="14"/>
      <c r="L7" s="14"/>
      <c r="M7" s="52"/>
    </row>
    <row r="8">
      <c r="A8" s="44" t="s">
        <v>23</v>
      </c>
      <c r="B8" s="45" t="s">
        <v>5</v>
      </c>
      <c r="C8" s="16">
        <v>1.5</v>
      </c>
      <c r="D8" s="16">
        <v>1.0</v>
      </c>
      <c r="E8" s="16">
        <v>1.5</v>
      </c>
      <c r="F8" s="16"/>
      <c r="G8" s="16"/>
      <c r="H8" s="16"/>
      <c r="I8" s="16">
        <v>2.0</v>
      </c>
      <c r="J8" s="16">
        <v>1.5</v>
      </c>
      <c r="K8" s="17">
        <f>IFERROR(__xludf.DUMMYFUNCTION("IFERROR(SUM(C8:J8) / ((MAX(FILTER(COLUMN(C8:J8), C8:J8&lt;&gt;"""")) - MIN(FILTER(COLUMN(C8:J8), C8:J8&lt;&gt;"""")) + 1)/7),"""")"),6.5625)</f>
        <v>6.5625</v>
      </c>
      <c r="L8" s="17">
        <f>SUM(C8:J8)/(COLUMNS(C8:J8)/7)</f>
        <v>6.5625</v>
      </c>
      <c r="M8" s="52"/>
    </row>
    <row r="9">
      <c r="B9" s="45" t="s">
        <v>6</v>
      </c>
      <c r="C9" s="16" t="s">
        <v>69</v>
      </c>
      <c r="D9" s="16" t="s">
        <v>139</v>
      </c>
      <c r="E9" s="16" t="s">
        <v>69</v>
      </c>
      <c r="F9" s="16"/>
      <c r="G9" s="16"/>
      <c r="H9" s="16"/>
      <c r="I9" s="16" t="s">
        <v>140</v>
      </c>
      <c r="J9" s="16" t="s">
        <v>69</v>
      </c>
      <c r="K9" s="17"/>
      <c r="L9" s="17"/>
      <c r="M9" s="52"/>
    </row>
    <row r="12">
      <c r="A12" s="30" t="s">
        <v>0</v>
      </c>
      <c r="B12" s="1" t="s">
        <v>52</v>
      </c>
      <c r="C12" s="31">
        <v>46127.0</v>
      </c>
      <c r="D12" s="31">
        <v>46128.0</v>
      </c>
      <c r="E12" s="31">
        <v>46129.0</v>
      </c>
      <c r="F12" s="31">
        <v>46130.0</v>
      </c>
      <c r="G12" s="31">
        <v>46131.0</v>
      </c>
      <c r="H12" s="31">
        <v>46132.0</v>
      </c>
      <c r="I12" s="31">
        <v>46133.0</v>
      </c>
      <c r="J12" s="31">
        <v>46134.0</v>
      </c>
      <c r="K12" s="31">
        <v>46135.0</v>
      </c>
      <c r="L12" s="31">
        <v>46136.0</v>
      </c>
      <c r="M12" s="31">
        <v>46137.0</v>
      </c>
      <c r="N12" s="31">
        <v>46138.0</v>
      </c>
      <c r="O12" s="31">
        <v>46139.0</v>
      </c>
      <c r="P12" s="31">
        <v>46140.0</v>
      </c>
      <c r="Q12" s="3" t="s">
        <v>2</v>
      </c>
      <c r="R12" s="3" t="s">
        <v>3</v>
      </c>
    </row>
    <row r="13">
      <c r="A13" s="32" t="s">
        <v>4</v>
      </c>
      <c r="B13" s="33" t="s">
        <v>5</v>
      </c>
      <c r="C13" s="6">
        <v>2.0</v>
      </c>
      <c r="D13" s="6">
        <v>1.5</v>
      </c>
      <c r="E13" s="6"/>
      <c r="F13" s="6"/>
      <c r="G13" s="6">
        <v>3.8</v>
      </c>
      <c r="H13" s="6">
        <v>0.5</v>
      </c>
      <c r="I13" s="6">
        <v>1.5</v>
      </c>
      <c r="J13" s="6"/>
      <c r="K13" s="6">
        <v>1.5</v>
      </c>
      <c r="L13" s="6"/>
      <c r="M13" s="6"/>
      <c r="N13" s="6"/>
      <c r="O13" s="33"/>
      <c r="P13" s="6"/>
      <c r="Q13" s="34">
        <f>IFERROR(__xludf.DUMMYFUNCTION("IFERROR(SUM(C13:P13) / ((MAX(FILTER(COLUMN(C13:P13), C13:P13&lt;&gt;"""")) - MIN(FILTER(COLUMN(C13:P13), C13:P13&lt;&gt;"""")) + 1)/7),"""")"),8.4)</f>
        <v>8.4</v>
      </c>
      <c r="R13" s="34">
        <f>SUM(C13:P13)/(COLUMNS(C13:P13)/7)</f>
        <v>5.4</v>
      </c>
    </row>
    <row r="14">
      <c r="B14" s="33" t="s">
        <v>6</v>
      </c>
      <c r="C14" s="6" t="s">
        <v>141</v>
      </c>
      <c r="D14" s="6" t="s">
        <v>142</v>
      </c>
      <c r="E14" s="6"/>
      <c r="F14" s="6"/>
      <c r="G14" s="6" t="s">
        <v>143</v>
      </c>
      <c r="H14" s="6" t="s">
        <v>144</v>
      </c>
      <c r="I14" s="6"/>
      <c r="J14" s="6"/>
      <c r="K14" s="6"/>
      <c r="L14" s="6"/>
      <c r="M14" s="6"/>
      <c r="N14" s="6"/>
      <c r="O14" s="6"/>
      <c r="P14" s="6"/>
      <c r="Q14" s="34"/>
      <c r="R14" s="34"/>
    </row>
    <row r="15">
      <c r="A15" s="36" t="s">
        <v>14</v>
      </c>
      <c r="B15" s="37" t="s">
        <v>5</v>
      </c>
      <c r="C15" s="10">
        <v>1.5</v>
      </c>
      <c r="D15" s="10">
        <v>1.5</v>
      </c>
      <c r="E15" s="10">
        <v>4.0</v>
      </c>
      <c r="F15" s="10"/>
      <c r="G15" s="10"/>
      <c r="H15" s="10"/>
      <c r="I15" s="10"/>
      <c r="J15" s="10"/>
      <c r="K15" s="10"/>
      <c r="L15" s="10"/>
      <c r="M15" s="10"/>
      <c r="N15" s="10"/>
      <c r="O15" s="37"/>
      <c r="P15" s="10"/>
      <c r="Q15" s="38">
        <f>IFERROR(__xludf.DUMMYFUNCTION("IFERROR(SUM(C15:P15) / ((MAX(FILTER(COLUMN(C15:P15), C15:P15&lt;&gt;"""")) - MIN(FILTER(COLUMN(C15:P15), C15:P15&lt;&gt;"""")) + 1)/7),"""")"),16.333333333333336)</f>
        <v>16.33333333</v>
      </c>
      <c r="R15" s="38">
        <f>SUM(C15:P15)/(COLUMNS(C15:P15)/7)</f>
        <v>3.5</v>
      </c>
    </row>
    <row r="16">
      <c r="B16" s="37" t="s">
        <v>6</v>
      </c>
      <c r="C16" s="10" t="s">
        <v>145</v>
      </c>
      <c r="D16" s="10" t="s">
        <v>69</v>
      </c>
      <c r="E16" s="10" t="s">
        <v>146</v>
      </c>
      <c r="F16" s="10"/>
      <c r="G16" s="10"/>
      <c r="H16" s="10"/>
      <c r="I16" s="10"/>
      <c r="J16" s="10"/>
      <c r="K16" s="10"/>
      <c r="L16" s="10"/>
      <c r="M16" s="10"/>
      <c r="N16" s="10"/>
      <c r="O16" s="37"/>
      <c r="P16" s="10"/>
      <c r="Q16" s="38"/>
      <c r="R16" s="38"/>
    </row>
    <row r="17">
      <c r="A17" s="40" t="s">
        <v>134</v>
      </c>
      <c r="B17" s="41" t="s">
        <v>5</v>
      </c>
      <c r="C17" s="13">
        <v>6.0</v>
      </c>
      <c r="D17" s="13">
        <v>5.0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41"/>
      <c r="P17" s="13"/>
      <c r="Q17" s="42">
        <f>IFERROR(__xludf.DUMMYFUNCTION("IFERROR(SUM(C17:P17) / ((MAX(FILTER(COLUMN(C17:P17), C17:P17&lt;&gt;"""")) - MIN(FILTER(COLUMN(C17:P17), C17:P17&lt;&gt;"""")) + 1)/7),"""")"),38.5)</f>
        <v>38.5</v>
      </c>
      <c r="R17" s="42">
        <f>SUM(C17:P17)/(COLUMNS(C17:P17)/7)</f>
        <v>5.5</v>
      </c>
    </row>
    <row r="18">
      <c r="B18" s="41" t="s">
        <v>6</v>
      </c>
      <c r="C18" s="13" t="s">
        <v>147</v>
      </c>
      <c r="D18" s="13" t="s">
        <v>148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41"/>
      <c r="P18" s="13"/>
      <c r="Q18" s="42"/>
      <c r="R18" s="42"/>
    </row>
    <row r="19">
      <c r="A19" s="44" t="s">
        <v>23</v>
      </c>
      <c r="B19" s="45" t="s">
        <v>5</v>
      </c>
      <c r="C19" s="16">
        <v>1.5</v>
      </c>
      <c r="D19" s="16">
        <v>1.5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45"/>
      <c r="P19" s="16"/>
      <c r="Q19" s="46">
        <f>IFERROR(__xludf.DUMMYFUNCTION("IFERROR(SUM(C19:P19) / ((MAX(FILTER(COLUMN(C19:P19), C19:P19&lt;&gt;"""")) - MIN(FILTER(COLUMN(C19:P19), C19:P19&lt;&gt;"""")) + 1)/7),"""")"),10.5)</f>
        <v>10.5</v>
      </c>
      <c r="R19" s="46">
        <f>SUM(C19:P19)/(COLUMNS(C19:P19)/7)</f>
        <v>1.5</v>
      </c>
    </row>
    <row r="20">
      <c r="B20" s="45" t="s">
        <v>6</v>
      </c>
      <c r="C20" s="16" t="s">
        <v>149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45"/>
      <c r="P20" s="16"/>
      <c r="Q20" s="46"/>
      <c r="R20" s="46"/>
    </row>
  </sheetData>
  <mergeCells count="8">
    <mergeCell ref="A2:A3"/>
    <mergeCell ref="A4:A5"/>
    <mergeCell ref="A6:A7"/>
    <mergeCell ref="A8:A9"/>
    <mergeCell ref="A13:A14"/>
    <mergeCell ref="A15:A16"/>
    <mergeCell ref="A17:A18"/>
    <mergeCell ref="A19:A2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14.25"/>
    <col customWidth="1" min="10" max="10" width="13.25"/>
    <col customWidth="1" min="12" max="12" width="12.13"/>
    <col customWidth="1" min="13" max="13" width="12.0"/>
    <col customWidth="1" min="15" max="15" width="13.25"/>
  </cols>
  <sheetData>
    <row r="1">
      <c r="A1" s="30" t="s">
        <v>0</v>
      </c>
      <c r="B1" s="1" t="s">
        <v>28</v>
      </c>
      <c r="C1" s="31">
        <v>46119.0</v>
      </c>
      <c r="D1" s="31">
        <v>46120.0</v>
      </c>
      <c r="E1" s="31">
        <v>46121.0</v>
      </c>
      <c r="F1" s="31">
        <v>46122.0</v>
      </c>
      <c r="G1" s="31">
        <v>46123.0</v>
      </c>
      <c r="H1" s="31">
        <v>46124.0</v>
      </c>
      <c r="I1" s="31">
        <v>46125.0</v>
      </c>
      <c r="J1" s="31">
        <v>46126.0</v>
      </c>
      <c r="K1" s="31">
        <v>46127.0</v>
      </c>
      <c r="L1" s="31">
        <v>46128.0</v>
      </c>
      <c r="M1" s="3" t="s">
        <v>2</v>
      </c>
      <c r="N1" s="3" t="s">
        <v>3</v>
      </c>
      <c r="O1" s="57"/>
    </row>
    <row r="2">
      <c r="A2" s="32" t="s">
        <v>78</v>
      </c>
      <c r="B2" s="33" t="s">
        <v>5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4" t="str">
        <f>IFERROR(__xludf.DUMMYFUNCTION("IFERROR(SUM(C2:L2) / ((MAX(FILTER(COLUMN(C2:L2), C2:L2&lt;&gt;"""")) - MIN(FILTER(COLUMN(C2:L2), C2:L2&lt;&gt;"""")) + 1)/7),"""")"),"")</f>
        <v/>
      </c>
      <c r="N2" s="34">
        <f>SUM(C2:L2)/(COLUMNS(C2:L2)/7)</f>
        <v>0</v>
      </c>
      <c r="O2" s="51"/>
    </row>
    <row r="3">
      <c r="B3" s="33" t="s">
        <v>6</v>
      </c>
      <c r="C3" s="6"/>
      <c r="D3" s="6"/>
      <c r="E3" s="6"/>
      <c r="F3" s="6"/>
      <c r="G3" s="6"/>
      <c r="H3" s="6"/>
      <c r="I3" s="6"/>
      <c r="J3" s="6"/>
      <c r="K3" s="6"/>
      <c r="L3" s="6"/>
      <c r="M3" s="34"/>
      <c r="N3" s="34"/>
      <c r="O3" s="19"/>
    </row>
    <row r="4">
      <c r="A4" s="36" t="s">
        <v>79</v>
      </c>
      <c r="B4" s="37" t="s">
        <v>5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8" t="str">
        <f>IFERROR(__xludf.DUMMYFUNCTION("IFERROR(SUM(C4:L4) / ((MAX(FILTER(COLUMN(C4:L4), C4:L4&lt;&gt;"""")) - MIN(FILTER(COLUMN(C4:L4), C4:L4&lt;&gt;"""")) + 1)/7),"""")"),"")</f>
        <v/>
      </c>
      <c r="N4" s="38">
        <f>SUM(C4:L4)/(COLUMNS(C4:L4)/7)</f>
        <v>0</v>
      </c>
      <c r="O4" s="51"/>
    </row>
    <row r="5">
      <c r="B5" s="37" t="s">
        <v>6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8"/>
      <c r="N5" s="38"/>
      <c r="O5" s="51"/>
    </row>
    <row r="6">
      <c r="A6" s="40" t="s">
        <v>80</v>
      </c>
      <c r="B6" s="41" t="s">
        <v>5</v>
      </c>
      <c r="C6" s="41"/>
      <c r="D6" s="41"/>
      <c r="E6" s="41"/>
      <c r="F6" s="41"/>
      <c r="G6" s="41"/>
      <c r="H6" s="41"/>
      <c r="I6" s="41"/>
      <c r="J6" s="41"/>
      <c r="K6" s="41"/>
      <c r="L6" s="41"/>
      <c r="M6" s="42" t="str">
        <f>IFERROR(__xludf.DUMMYFUNCTION("IFERROR(SUM(C6:L6) / ((MAX(FILTER(COLUMN(C6:L6), C6:L6&lt;&gt;"""")) - MIN(FILTER(COLUMN(C6:L6), C6:L6&lt;&gt;"""")) + 1)/7),"""")"),"")</f>
        <v/>
      </c>
      <c r="N6" s="42">
        <f>SUM(C6:L6)/(COLUMNS(C6:L6)/7)</f>
        <v>0</v>
      </c>
      <c r="O6" s="51"/>
    </row>
    <row r="7">
      <c r="B7" s="41" t="s">
        <v>6</v>
      </c>
      <c r="C7" s="41"/>
      <c r="D7" s="41"/>
      <c r="E7" s="41"/>
      <c r="F7" s="41"/>
      <c r="G7" s="41"/>
      <c r="H7" s="41"/>
      <c r="I7" s="41"/>
      <c r="J7" s="41"/>
      <c r="K7" s="41"/>
      <c r="L7" s="41"/>
      <c r="M7" s="42"/>
      <c r="N7" s="42"/>
      <c r="O7" s="51"/>
    </row>
    <row r="8">
      <c r="A8" s="44" t="s">
        <v>81</v>
      </c>
      <c r="B8" s="45" t="s">
        <v>5</v>
      </c>
      <c r="C8" s="45"/>
      <c r="D8" s="45"/>
      <c r="E8" s="45"/>
      <c r="F8" s="45"/>
      <c r="G8" s="45"/>
      <c r="H8" s="45"/>
      <c r="I8" s="45"/>
      <c r="J8" s="45"/>
      <c r="K8" s="45"/>
      <c r="L8" s="45"/>
      <c r="M8" s="46" t="str">
        <f>IFERROR(__xludf.DUMMYFUNCTION("IFERROR(SUM(C8:L8) / ((MAX(FILTER(COLUMN(C8:L8), C8:L8&lt;&gt;"""")) - MIN(FILTER(COLUMN(C8:L8), C8:L8&lt;&gt;"""")) + 1)/7),"""")"),"")</f>
        <v/>
      </c>
      <c r="N8" s="46">
        <f>SUM(C8:L8)/(COLUMNS(C8:L8)/7)</f>
        <v>0</v>
      </c>
      <c r="O8" s="51"/>
    </row>
    <row r="9">
      <c r="B9" s="45" t="s">
        <v>6</v>
      </c>
      <c r="C9" s="45"/>
      <c r="D9" s="45"/>
      <c r="E9" s="45"/>
      <c r="F9" s="45"/>
      <c r="G9" s="45"/>
      <c r="H9" s="45"/>
      <c r="I9" s="45"/>
      <c r="J9" s="45"/>
      <c r="K9" s="45"/>
      <c r="L9" s="45"/>
      <c r="M9" s="46"/>
      <c r="N9" s="46"/>
      <c r="O9" s="51"/>
    </row>
    <row r="12">
      <c r="A12" s="30" t="s">
        <v>0</v>
      </c>
      <c r="B12" s="1" t="s">
        <v>52</v>
      </c>
      <c r="C12" s="31">
        <v>46129.0</v>
      </c>
      <c r="D12" s="31">
        <v>46130.0</v>
      </c>
      <c r="E12" s="31">
        <v>46131.0</v>
      </c>
      <c r="F12" s="31">
        <v>46132.0</v>
      </c>
      <c r="G12" s="31">
        <v>46133.0</v>
      </c>
      <c r="H12" s="31">
        <v>46134.0</v>
      </c>
      <c r="I12" s="31">
        <v>46135.0</v>
      </c>
      <c r="J12" s="31">
        <v>46136.0</v>
      </c>
      <c r="K12" s="31">
        <v>46137.0</v>
      </c>
      <c r="L12" s="31">
        <v>46138.0</v>
      </c>
      <c r="M12" s="31">
        <v>46139.0</v>
      </c>
      <c r="N12" s="31">
        <v>46140.0</v>
      </c>
      <c r="O12" s="3" t="s">
        <v>2</v>
      </c>
      <c r="P12" s="3" t="s">
        <v>3</v>
      </c>
      <c r="T12" s="48"/>
    </row>
    <row r="13">
      <c r="A13" s="32" t="s">
        <v>78</v>
      </c>
      <c r="B13" s="33" t="s">
        <v>5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4" t="str">
        <f>IFERROR(__xludf.DUMMYFUNCTION("IFERROR(SUM(C13:N13) / ((MAX(FILTER(COLUMN(C13:N13), C13:N13&lt;&gt;"""")) - MIN(FILTER(COLUMN(C13:N13), C13:N13&lt;&gt;"""")) + 1)/7),"""")"),"")</f>
        <v/>
      </c>
      <c r="P13" s="34">
        <f>SUM(C13:N13)/(COLUMNS(C13:N13)/7)</f>
        <v>0</v>
      </c>
      <c r="T13" s="51"/>
    </row>
    <row r="14">
      <c r="B14" s="33" t="s">
        <v>6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34"/>
      <c r="P14" s="34"/>
      <c r="T14" s="19"/>
    </row>
    <row r="15">
      <c r="A15" s="36" t="s">
        <v>79</v>
      </c>
      <c r="B15" s="37" t="s">
        <v>5</v>
      </c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8" t="str">
        <f>IFERROR(__xludf.DUMMYFUNCTION("IFERROR(SUM(C15:N15) / ((MAX(FILTER(COLUMN(C15:N15), C15:N15&lt;&gt;"""")) - MIN(FILTER(COLUMN(C15:N15), C15:N15&lt;&gt;"""")) + 1)/7),"""")"),"")</f>
        <v/>
      </c>
      <c r="P15" s="38">
        <f>SUM(C15:N15)/(COLUMNS(C15:N15)/7)</f>
        <v>0</v>
      </c>
      <c r="T15" s="51"/>
    </row>
    <row r="16">
      <c r="B16" s="37" t="s">
        <v>6</v>
      </c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8"/>
      <c r="P16" s="38"/>
      <c r="T16" s="51"/>
    </row>
    <row r="17">
      <c r="A17" s="40" t="s">
        <v>80</v>
      </c>
      <c r="B17" s="41" t="s">
        <v>5</v>
      </c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2" t="str">
        <f>IFERROR(__xludf.DUMMYFUNCTION("IFERROR(SUM(C17:N17) / ((MAX(FILTER(COLUMN(C17:N17), C17:N17&lt;&gt;"""")) - MIN(FILTER(COLUMN(C17:N17), C17:N17&lt;&gt;"""")) + 1)/7),"""")"),"")</f>
        <v/>
      </c>
      <c r="P17" s="42">
        <f>SUM(C17:N17)/(COLUMNS(C17:N17)/7)</f>
        <v>0</v>
      </c>
      <c r="T17" s="51"/>
    </row>
    <row r="18">
      <c r="B18" s="41" t="s">
        <v>6</v>
      </c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2"/>
      <c r="P18" s="42"/>
      <c r="T18" s="51"/>
    </row>
    <row r="19">
      <c r="A19" s="44" t="s">
        <v>81</v>
      </c>
      <c r="B19" s="45" t="s">
        <v>5</v>
      </c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6" t="str">
        <f>IFERROR(__xludf.DUMMYFUNCTION("IFERROR(SUM(C19:N19) / ((MAX(FILTER(COLUMN(C19:N19), C19:N19&lt;&gt;"""")) - MIN(FILTER(COLUMN(C19:N19), C19:N19&lt;&gt;"""")) + 1)/7),"""")"),"")</f>
        <v/>
      </c>
      <c r="P19" s="46">
        <f>SUM(C19:N19)/(COLUMNS(C19:N19)/7)</f>
        <v>0</v>
      </c>
      <c r="T19" s="51"/>
    </row>
    <row r="20">
      <c r="B20" s="45" t="s">
        <v>6</v>
      </c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6"/>
      <c r="P20" s="46"/>
      <c r="T20" s="51"/>
    </row>
  </sheetData>
  <mergeCells count="8">
    <mergeCell ref="A2:A3"/>
    <mergeCell ref="A4:A5"/>
    <mergeCell ref="A6:A7"/>
    <mergeCell ref="A8:A9"/>
    <mergeCell ref="A13:A14"/>
    <mergeCell ref="A15:A16"/>
    <mergeCell ref="A17:A18"/>
    <mergeCell ref="A19:A20"/>
  </mergeCells>
  <drawing r:id="rId1"/>
</worksheet>
</file>